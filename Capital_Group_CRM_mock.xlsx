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ccounts" sheetId="2" state="visible" r:id="rId4"/>
    <sheet name="Contacts" sheetId="3" state="visible" r:id="rId5"/>
    <sheet name="Pipeline" sheetId="4" state="visible" r:id="rId6"/>
    <sheet name="Activities" sheetId="5" state="visible" r:id="rId7"/>
    <sheet name="AUM Summary" sheetId="6" state="visible" r:id="rId8"/>
    <sheet name="Team &amp; Org Char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<sst xmlns="http://schemas.openxmlformats.org/spreadsheetml/2006/main" count="1773" uniqueCount="798">
  <si>
    <t xml:space="preserve">Capital Group — Institutional CRM (MOCK / SYNTHETIC DATA)</t>
  </si>
  <si>
    <t xml:space="preserve">PURPOSE</t>
  </si>
  <si>
    <t xml:space="preserve">Sample customer-relationship-management (CRM) dataset modeled on how a large active asset</t>
  </si>
  <si>
    <t xml:space="preserve">manager (Capital Group, home of American Funds) would structure institutional client data.</t>
  </si>
  <si>
    <t xml:space="preserve">IMPORTANT — THIS DATA IS NOT REAL</t>
  </si>
  <si>
    <t xml:space="preserve">• Capital Group does not publish a client list; specific client identities are confidential.</t>
  </si>
  <si>
    <t xml:space="preserve">• Every institution, person, email, phone number, AUM figure, mandate and note below is FICTIONAL.</t>
  </si>
  <si>
    <t xml:space="preserve">• Account TYPES (public pension, corporate DB/DC, endowment, insurance, sub-advisory, etc.) and</t>
  </si>
  <si>
    <t xml:space="preserve">  Capital Group STRATEGY names are real/public; they are used only to make the mock realistic.</t>
  </si>
  <si>
    <t xml:space="preserve">• The only real public reference point used for context: U.S. public pension funds disclose their</t>
  </si>
  <si>
    <t xml:space="preserve">  external managers (e.g., NY State Common Retirement Fund publicly reported a ~$2.1B Capital Group</t>
  </si>
  <si>
    <t xml:space="preserve">  international-equity account, terminated June 2025). No such real records are reproduced here.</t>
  </si>
  <si>
    <t xml:space="preserve">SHEETS</t>
  </si>
  <si>
    <t xml:space="preserve">• Accounts    — institutional client organizations &amp; relationship summary</t>
  </si>
  <si>
    <t xml:space="preserve">• Contacts    — individuals at each account (decision makers, influencers, gatekeepers)</t>
  </si>
  <si>
    <t xml:space="preserve">• Pipeline    — open &amp; closed mandate opportunities with stage/probability</t>
  </si>
  <si>
    <t xml:space="preserve">• Activities  — interaction log (meetings, calls, emails, events) with next steps</t>
  </si>
  <si>
    <t xml:space="preserve">• AUM Summary — assets-under-management roll-ups (live formulas)</t>
  </si>
  <si>
    <t xml:space="preserve">Generated: 2026-06-04   |   Records: 25 accounts, 50 contacts, 29 opportunities, 69 activities</t>
  </si>
  <si>
    <t xml:space="preserve">Account ID</t>
  </si>
  <si>
    <t xml:space="preserve">Account Name</t>
  </si>
  <si>
    <t xml:space="preserve">Type</t>
  </si>
  <si>
    <t xml:space="preserve">Region</t>
  </si>
  <si>
    <t xml:space="preserve">Country/State</t>
  </si>
  <si>
    <t xml:space="preserve">AUM with CG ($mm)</t>
  </si>
  <si>
    <t xml:space="preserve">Tier</t>
  </si>
  <si>
    <t xml:space="preserve">Client Since</t>
  </si>
  <si>
    <t xml:space="preserve">Primary Strategy</t>
  </si>
  <si>
    <t xml:space="preserve">Relationship Mgr</t>
  </si>
  <si>
    <t xml:space="preserve">Consultant</t>
  </si>
  <si>
    <t xml:space="preserve">Status</t>
  </si>
  <si>
    <t xml:space="preserve">ACC-1001</t>
  </si>
  <si>
    <t xml:space="preserve">Northgate County Employees' Retirement System</t>
  </si>
  <si>
    <t xml:space="preserve">Public Pension (DB)</t>
  </si>
  <si>
    <t xml:space="preserve">Americas</t>
  </si>
  <si>
    <t xml:space="preserve">USA - OH</t>
  </si>
  <si>
    <t xml:space="preserve">Strategic</t>
  </si>
  <si>
    <t xml:space="preserve">EuroPacific Growth (Intl Equity)</t>
  </si>
  <si>
    <t xml:space="preserve">Marcus Hale</t>
  </si>
  <si>
    <t xml:space="preserve">In-house</t>
  </si>
  <si>
    <t xml:space="preserve">Active</t>
  </si>
  <si>
    <t xml:space="preserve">ACC-1002</t>
  </si>
  <si>
    <t xml:space="preserve">State of Calderon Teachers' Retirement Fund</t>
  </si>
  <si>
    <t xml:space="preserve">USA - TX</t>
  </si>
  <si>
    <t xml:space="preserve">Capital Group Core Plus Income (Fixed Income)</t>
  </si>
  <si>
    <t xml:space="preserve">Diane Okafor</t>
  </si>
  <si>
    <t xml:space="preserve">Mercer</t>
  </si>
  <si>
    <t xml:space="preserve">Prospect</t>
  </si>
  <si>
    <t xml:space="preserve">ACC-1003</t>
  </si>
  <si>
    <t xml:space="preserve">Westhaven Municipal Pension Trust</t>
  </si>
  <si>
    <t xml:space="preserve">USA - CA</t>
  </si>
  <si>
    <t xml:space="preserve">Core</t>
  </si>
  <si>
    <t xml:space="preserve">Capital Group Multi-Sector Income</t>
  </si>
  <si>
    <t xml:space="preserve">Tom Brennan</t>
  </si>
  <si>
    <t xml:space="preserve">ACC-1004</t>
  </si>
  <si>
    <t xml:space="preserve">Riverbend Public Employees Pension</t>
  </si>
  <si>
    <t xml:space="preserve">USA - IL</t>
  </si>
  <si>
    <t xml:space="preserve">The Bond Fund of America Strategy (Core Bond)</t>
  </si>
  <si>
    <t xml:space="preserve">Sofia Marchetti</t>
  </si>
  <si>
    <t xml:space="preserve">ACC-1005</t>
  </si>
  <si>
    <t xml:space="preserve">Meridian Aerospace Pension Trust</t>
  </si>
  <si>
    <t xml:space="preserve">Corporate Pension (DB)</t>
  </si>
  <si>
    <t xml:space="preserve">USA - WA</t>
  </si>
  <si>
    <t xml:space="preserve">Developing</t>
  </si>
  <si>
    <t xml:space="preserve">Capital Group International Equity</t>
  </si>
  <si>
    <t xml:space="preserve">Daniel Cho</t>
  </si>
  <si>
    <t xml:space="preserve">Aon</t>
  </si>
  <si>
    <t xml:space="preserve">ACC-1006</t>
  </si>
  <si>
    <t xml:space="preserve">Halcyon Industries Retirement Plan</t>
  </si>
  <si>
    <t xml:space="preserve">USA - MI</t>
  </si>
  <si>
    <t xml:space="preserve">Capital Group Emerging Markets Debt</t>
  </si>
  <si>
    <t xml:space="preserve">ACC-1007</t>
  </si>
  <si>
    <t xml:space="preserve">Brightline Logistics 401(k) Plan</t>
  </si>
  <si>
    <t xml:space="preserve">Corporate DC / 401(k)</t>
  </si>
  <si>
    <t xml:space="preserve">USA - GA</t>
  </si>
  <si>
    <t xml:space="preserve">Capital Group Growth (US Equity)</t>
  </si>
  <si>
    <t xml:space="preserve">At Risk</t>
  </si>
  <si>
    <t xml:space="preserve">ACC-1008</t>
  </si>
  <si>
    <t xml:space="preserve">Verdant Foods Inc. Savings Plan</t>
  </si>
  <si>
    <t xml:space="preserve">USA - MN</t>
  </si>
  <si>
    <t xml:space="preserve">Capital Group World Dividend Growers</t>
  </si>
  <si>
    <t xml:space="preserve">ACC-1009</t>
  </si>
  <si>
    <t xml:space="preserve">Cordova Technologies 401(k) Plan</t>
  </si>
  <si>
    <t xml:space="preserve">RVK</t>
  </si>
  <si>
    <t xml:space="preserve">ACC-1010</t>
  </si>
  <si>
    <t xml:space="preserve">Ashford University Endowment</t>
  </si>
  <si>
    <t xml:space="preserve">Endowment &amp; Foundation</t>
  </si>
  <si>
    <t xml:space="preserve">USA - MA</t>
  </si>
  <si>
    <t xml:space="preserve">NEPC</t>
  </si>
  <si>
    <t xml:space="preserve">ACC-1011</t>
  </si>
  <si>
    <t xml:space="preserve">Lakemont College Endowment Fund</t>
  </si>
  <si>
    <t xml:space="preserve">USA - NY</t>
  </si>
  <si>
    <t xml:space="preserve">Priya Venkatesan</t>
  </si>
  <si>
    <t xml:space="preserve">WTW</t>
  </si>
  <si>
    <t xml:space="preserve">ACC-1012</t>
  </si>
  <si>
    <t xml:space="preserve">The Pemberton Family Foundation</t>
  </si>
  <si>
    <t xml:space="preserve">USA - CT</t>
  </si>
  <si>
    <t xml:space="preserve">American Funds Target Date Series (DC)</t>
  </si>
  <si>
    <t xml:space="preserve">ACC-1013</t>
  </si>
  <si>
    <t xml:space="preserve">Sentinel Mutual Life General Account</t>
  </si>
  <si>
    <t xml:space="preserve">Insurance General Account</t>
  </si>
  <si>
    <t xml:space="preserve">USA - NJ</t>
  </si>
  <si>
    <t xml:space="preserve">Capital Group New Perspective (Global Equity)</t>
  </si>
  <si>
    <t xml:space="preserve">ACC-1014</t>
  </si>
  <si>
    <t xml:space="preserve">Aegis Casualty &amp; Surety Co.</t>
  </si>
  <si>
    <t xml:space="preserve">ACC-1015</t>
  </si>
  <si>
    <t xml:space="preserve">Crowne Variable Annuity Platform</t>
  </si>
  <si>
    <t xml:space="preserve">Sub-Advisory</t>
  </si>
  <si>
    <t xml:space="preserve">USA - IA</t>
  </si>
  <si>
    <t xml:space="preserve">Callan</t>
  </si>
  <si>
    <t xml:space="preserve">ACC-1016</t>
  </si>
  <si>
    <t xml:space="preserve">Beacon Wealth Model Portfolios</t>
  </si>
  <si>
    <t xml:space="preserve">USA - NC</t>
  </si>
  <si>
    <t xml:space="preserve">Renee Lambert</t>
  </si>
  <si>
    <t xml:space="preserve">Verus</t>
  </si>
  <si>
    <t xml:space="preserve">ACC-1017</t>
  </si>
  <si>
    <t xml:space="preserve">Stonebridge Health System Operating Fund</t>
  </si>
  <si>
    <t xml:space="preserve">Healthcare System</t>
  </si>
  <si>
    <t xml:space="preserve">USA - PA</t>
  </si>
  <si>
    <t xml:space="preserve">Owen Fitzgerald</t>
  </si>
  <si>
    <t xml:space="preserve">ACC-1018</t>
  </si>
  <si>
    <t xml:space="preserve">Cascade Medical Group Pension</t>
  </si>
  <si>
    <t xml:space="preserve">USA - OR</t>
  </si>
  <si>
    <t xml:space="preserve">Capital Income Builder (Income)</t>
  </si>
  <si>
    <t xml:space="preserve">ACC-1019</t>
  </si>
  <si>
    <t xml:space="preserve">Maple Provincial Pension Board</t>
  </si>
  <si>
    <t xml:space="preserve">Canada - ON</t>
  </si>
  <si>
    <t xml:space="preserve">ACC-1020</t>
  </si>
  <si>
    <t xml:space="preserve">Helvetia Pensionskasse</t>
  </si>
  <si>
    <t xml:space="preserve">EMEA</t>
  </si>
  <si>
    <t xml:space="preserve">Switzerland</t>
  </si>
  <si>
    <t xml:space="preserve">Capital Group US Core Equity</t>
  </si>
  <si>
    <t xml:space="preserve">ACC-1021</t>
  </si>
  <si>
    <t xml:space="preserve">Nordmark National Pension Fund</t>
  </si>
  <si>
    <t xml:space="preserve">Sovereign / Government</t>
  </si>
  <si>
    <t xml:space="preserve">Denmark</t>
  </si>
  <si>
    <t xml:space="preserve">ACC-1022</t>
  </si>
  <si>
    <t xml:space="preserve">Greater London Borough Pension Pool</t>
  </si>
  <si>
    <t xml:space="preserve">United Kingdom</t>
  </si>
  <si>
    <t xml:space="preserve">ACC-1023</t>
  </si>
  <si>
    <t xml:space="preserve">Sakura Mutual Aid Association</t>
  </si>
  <si>
    <t xml:space="preserve">APAC</t>
  </si>
  <si>
    <t xml:space="preserve">Japan</t>
  </si>
  <si>
    <t xml:space="preserve">ACC-1024</t>
  </si>
  <si>
    <t xml:space="preserve">Pacifica Builders Joint Pension</t>
  </si>
  <si>
    <t xml:space="preserve">Taft-Hartley / Union</t>
  </si>
  <si>
    <t xml:space="preserve">USA - NV</t>
  </si>
  <si>
    <t xml:space="preserve">ACC-1025</t>
  </si>
  <si>
    <t xml:space="preserve">United Transit Workers Annuity Fund</t>
  </si>
  <si>
    <t xml:space="preserve">TOTAL</t>
  </si>
  <si>
    <t xml:space="preserve">Contact ID</t>
  </si>
  <si>
    <t xml:space="preserve">First Name</t>
  </si>
  <si>
    <t xml:space="preserve">Last Name</t>
  </si>
  <si>
    <t xml:space="preserve">Title</t>
  </si>
  <si>
    <t xml:space="preserve">Role</t>
  </si>
  <si>
    <t xml:space="preserve">Email</t>
  </si>
  <si>
    <t xml:space="preserve">Phone</t>
  </si>
  <si>
    <t xml:space="preserve">Last Contacted</t>
  </si>
  <si>
    <t xml:space="preserve">CON-2001</t>
  </si>
  <si>
    <t xml:space="preserve">John</t>
  </si>
  <si>
    <t xml:space="preserve">Sato</t>
  </si>
  <si>
    <t xml:space="preserve">Director of Investments</t>
  </si>
  <si>
    <t xml:space="preserve">Decision Maker</t>
  </si>
  <si>
    <t xml:space="preserve">j.sato@northgate.example.org</t>
  </si>
  <si>
    <t xml:space="preserve">+1 (555) 762-3705</t>
  </si>
  <si>
    <t xml:space="preserve">2026-03-28</t>
  </si>
  <si>
    <t xml:space="preserve">CON-2002</t>
  </si>
  <si>
    <t xml:space="preserve">Lucas</t>
  </si>
  <si>
    <t xml:space="preserve">Castellano</t>
  </si>
  <si>
    <t xml:space="preserve">Investment Committee Chair</t>
  </si>
  <si>
    <t xml:space="preserve">Gatekeeper</t>
  </si>
  <si>
    <t xml:space="preserve">l.castellano@northgate.example.org</t>
  </si>
  <si>
    <t xml:space="preserve">+1 (555) 416-9835</t>
  </si>
  <si>
    <t xml:space="preserve">2025-12-09</t>
  </si>
  <si>
    <t xml:space="preserve">CON-2003</t>
  </si>
  <si>
    <t xml:space="preserve">Mateo</t>
  </si>
  <si>
    <t xml:space="preserve">Tanaka</t>
  </si>
  <si>
    <t xml:space="preserve">m.tanaka@northgate.example.org</t>
  </si>
  <si>
    <t xml:space="preserve">+1 (555) 887-7118</t>
  </si>
  <si>
    <t xml:space="preserve">2026-02-11</t>
  </si>
  <si>
    <t xml:space="preserve">CON-2004</t>
  </si>
  <si>
    <t xml:space="preserve">Patricia</t>
  </si>
  <si>
    <t xml:space="preserve">Schmidt</t>
  </si>
  <si>
    <t xml:space="preserve">Portfolio Manager - Public Equities</t>
  </si>
  <si>
    <t xml:space="preserve">Influencer</t>
  </si>
  <si>
    <t xml:space="preserve">p.schmidt@state.example.org</t>
  </si>
  <si>
    <t xml:space="preserve">+1 (555) 265-6539</t>
  </si>
  <si>
    <t xml:space="preserve">2026-05-29</t>
  </si>
  <si>
    <t xml:space="preserve">CON-2005</t>
  </si>
  <si>
    <t xml:space="preserve">Lisa</t>
  </si>
  <si>
    <t xml:space="preserve">Plan Administrator</t>
  </si>
  <si>
    <t xml:space="preserve">l.schmidt@state.example.org</t>
  </si>
  <si>
    <t xml:space="preserve">+1 (555) 425-1117</t>
  </si>
  <si>
    <t xml:space="preserve">2026-05-16</t>
  </si>
  <si>
    <t xml:space="preserve">CON-2006</t>
  </si>
  <si>
    <t xml:space="preserve">Liam</t>
  </si>
  <si>
    <t xml:space="preserve">Mitchell</t>
  </si>
  <si>
    <t xml:space="preserve">Board Trustee</t>
  </si>
  <si>
    <t xml:space="preserve">l.mitchell@state.example.org</t>
  </si>
  <si>
    <t xml:space="preserve">+1 (555) 269-1514</t>
  </si>
  <si>
    <t xml:space="preserve">2026-03-11</t>
  </si>
  <si>
    <t xml:space="preserve">CON-2007</t>
  </si>
  <si>
    <t xml:space="preserve">Linda</t>
  </si>
  <si>
    <t xml:space="preserve">Larsson</t>
  </si>
  <si>
    <t xml:space="preserve">l.larsson@westhaven.example.org</t>
  </si>
  <si>
    <t xml:space="preserve">+1 (555) 697-4510</t>
  </si>
  <si>
    <t xml:space="preserve">2026-01-16</t>
  </si>
  <si>
    <t xml:space="preserve">CON-2008</t>
  </si>
  <si>
    <t xml:space="preserve">Chen</t>
  </si>
  <si>
    <t xml:space="preserve">Hoffman</t>
  </si>
  <si>
    <t xml:space="preserve">c.hoffman@riverbend.example.org</t>
  </si>
  <si>
    <t xml:space="preserve">+1 (555) 684-4981</t>
  </si>
  <si>
    <t xml:space="preserve">2026-02-02</t>
  </si>
  <si>
    <t xml:space="preserve">CON-2009</t>
  </si>
  <si>
    <t xml:space="preserve">Caldwell</t>
  </si>
  <si>
    <t xml:space="preserve">VP, Pension Investments</t>
  </si>
  <si>
    <t xml:space="preserve">p.caldwell@meridian.example.org</t>
  </si>
  <si>
    <t xml:space="preserve">+1 (555) 641-6804</t>
  </si>
  <si>
    <t xml:space="preserve">2026-02-15</t>
  </si>
  <si>
    <t xml:space="preserve">CON-2010</t>
  </si>
  <si>
    <t xml:space="preserve">Joseph</t>
  </si>
  <si>
    <t xml:space="preserve">Moreau</t>
  </si>
  <si>
    <t xml:space="preserve">Senior Investment Officer</t>
  </si>
  <si>
    <t xml:space="preserve">j.moreau@meridian.example.org</t>
  </si>
  <si>
    <t xml:space="preserve">+1 (555) 889-2612</t>
  </si>
  <si>
    <t xml:space="preserve">2026-05-19</t>
  </si>
  <si>
    <t xml:space="preserve">CON-2011</t>
  </si>
  <si>
    <t xml:space="preserve">William</t>
  </si>
  <si>
    <t xml:space="preserve">w.caldwell@halcyon.example.org</t>
  </si>
  <si>
    <t xml:space="preserve">+1 (555) 396-4116</t>
  </si>
  <si>
    <t xml:space="preserve">2026-01-17</t>
  </si>
  <si>
    <t xml:space="preserve">CON-2012</t>
  </si>
  <si>
    <t xml:space="preserve">Fernandez</t>
  </si>
  <si>
    <t xml:space="preserve">j.fernandez@halcyon.example.org</t>
  </si>
  <si>
    <t xml:space="preserve">+1 (555) 485-8579</t>
  </si>
  <si>
    <t xml:space="preserve">2026-04-01</t>
  </si>
  <si>
    <t xml:space="preserve">CON-2013</t>
  </si>
  <si>
    <t xml:space="preserve">Noah</t>
  </si>
  <si>
    <t xml:space="preserve">Delgado</t>
  </si>
  <si>
    <t xml:space="preserve">n.delgado@brightline.example.org</t>
  </si>
  <si>
    <t xml:space="preserve">+1 (555) 251-9856</t>
  </si>
  <si>
    <t xml:space="preserve">2026-05-31</t>
  </si>
  <si>
    <t xml:space="preserve">CON-2014</t>
  </si>
  <si>
    <t xml:space="preserve">Jennifer</t>
  </si>
  <si>
    <t xml:space="preserve">j.fernandez@verdant.example.org</t>
  </si>
  <si>
    <t xml:space="preserve">+1 (555) 692-4502</t>
  </si>
  <si>
    <t xml:space="preserve">2026-02-21</t>
  </si>
  <si>
    <t xml:space="preserve">CON-2015</t>
  </si>
  <si>
    <t xml:space="preserve">Richard</t>
  </si>
  <si>
    <t xml:space="preserve">Anderson</t>
  </si>
  <si>
    <t xml:space="preserve">r.anderson@cordova.example.org</t>
  </si>
  <si>
    <t xml:space="preserve">+1 (555) 471-8454</t>
  </si>
  <si>
    <t xml:space="preserve">2026-03-22</t>
  </si>
  <si>
    <t xml:space="preserve">CON-2016</t>
  </si>
  <si>
    <t xml:space="preserve">Ingrid</t>
  </si>
  <si>
    <t xml:space="preserve">i.delgado@ashford.example.org</t>
  </si>
  <si>
    <t xml:space="preserve">+1 (555) 935-8973</t>
  </si>
  <si>
    <t xml:space="preserve">2026-04-25</t>
  </si>
  <si>
    <t xml:space="preserve">CON-2017</t>
  </si>
  <si>
    <t xml:space="preserve">Elizabeth</t>
  </si>
  <si>
    <t xml:space="preserve">O'Brien</t>
  </si>
  <si>
    <t xml:space="preserve">Chief Investment Officer</t>
  </si>
  <si>
    <t xml:space="preserve">e.obrien@ashford.example.org</t>
  </si>
  <si>
    <t xml:space="preserve">+1 (555) 793-9883</t>
  </si>
  <si>
    <t xml:space="preserve">CON-2018</t>
  </si>
  <si>
    <t xml:space="preserve">Mary</t>
  </si>
  <si>
    <t xml:space="preserve">Director of Fixed Income</t>
  </si>
  <si>
    <t xml:space="preserve">m.mitchell@lakemont.example.org</t>
  </si>
  <si>
    <t xml:space="preserve">+1 (555) 688-9238</t>
  </si>
  <si>
    <t xml:space="preserve">2026-01-19</t>
  </si>
  <si>
    <t xml:space="preserve">CON-2019</t>
  </si>
  <si>
    <t xml:space="preserve">Brooks</t>
  </si>
  <si>
    <t xml:space="preserve">m.brooks@lakemont.example.org</t>
  </si>
  <si>
    <t xml:space="preserve">+1 (555) 390-2122</t>
  </si>
  <si>
    <t xml:space="preserve">2026-01-02</t>
  </si>
  <si>
    <t xml:space="preserve">CON-2020</t>
  </si>
  <si>
    <t xml:space="preserve">Sofia</t>
  </si>
  <si>
    <t xml:space="preserve">s.schmidt@lakemont.example.org</t>
  </si>
  <si>
    <t xml:space="preserve">+1 (555) 322-5033</t>
  </si>
  <si>
    <t xml:space="preserve">2026-01-06</t>
  </si>
  <si>
    <t xml:space="preserve">CON-2021</t>
  </si>
  <si>
    <t xml:space="preserve">Anneke</t>
  </si>
  <si>
    <t xml:space="preserve">Reyes</t>
  </si>
  <si>
    <t xml:space="preserve">a.reyes@the.example.org</t>
  </si>
  <si>
    <t xml:space="preserve">+1 (555) 873-9565</t>
  </si>
  <si>
    <t xml:space="preserve">2026-03-15</t>
  </si>
  <si>
    <t xml:space="preserve">CON-2022</t>
  </si>
  <si>
    <t xml:space="preserve">Michael</t>
  </si>
  <si>
    <t xml:space="preserve">Investment Analyst</t>
  </si>
  <si>
    <t xml:space="preserve">m.sato@the.example.org</t>
  </si>
  <si>
    <t xml:space="preserve">+1 (555) 444-5351</t>
  </si>
  <si>
    <t xml:space="preserve">2026-02-22</t>
  </si>
  <si>
    <t xml:space="preserve">CON-2023</t>
  </si>
  <si>
    <t xml:space="preserve">Bauer</t>
  </si>
  <si>
    <t xml:space="preserve">Treasurer</t>
  </si>
  <si>
    <t xml:space="preserve">s.bauer@the.example.org</t>
  </si>
  <si>
    <t xml:space="preserve">+1 (555) 668-6180</t>
  </si>
  <si>
    <t xml:space="preserve">CON-2024</t>
  </si>
  <si>
    <t xml:space="preserve">a.hoffman@sentinel.example.org</t>
  </si>
  <si>
    <t xml:space="preserve">+1 (555) 275-9808</t>
  </si>
  <si>
    <t xml:space="preserve">2026-04-10</t>
  </si>
  <si>
    <t xml:space="preserve">CON-2025</t>
  </si>
  <si>
    <t xml:space="preserve">Kowalski</t>
  </si>
  <si>
    <t xml:space="preserve">j.kowalski@aegis.example.org</t>
  </si>
  <si>
    <t xml:space="preserve">+1 (555) 450-7054</t>
  </si>
  <si>
    <t xml:space="preserve">2026-03-23</t>
  </si>
  <si>
    <t xml:space="preserve">CON-2026</t>
  </si>
  <si>
    <t xml:space="preserve">j.delgado@aegis.example.org</t>
  </si>
  <si>
    <t xml:space="preserve">+1 (555) 509-9666</t>
  </si>
  <si>
    <t xml:space="preserve">2026-06-01</t>
  </si>
  <si>
    <t xml:space="preserve">CON-2027</t>
  </si>
  <si>
    <t xml:space="preserve">Emma</t>
  </si>
  <si>
    <t xml:space="preserve">e.delgado@aegis.example.org</t>
  </si>
  <si>
    <t xml:space="preserve">+1 (555) 879-2697</t>
  </si>
  <si>
    <t xml:space="preserve">2026-04-30</t>
  </si>
  <si>
    <t xml:space="preserve">CON-2028</t>
  </si>
  <si>
    <t xml:space="preserve">Aisha</t>
  </si>
  <si>
    <t xml:space="preserve">a.caldwell@crowne.example.org</t>
  </si>
  <si>
    <t xml:space="preserve">+1 (555) 766-3546</t>
  </si>
  <si>
    <t xml:space="preserve">2026-03-26</t>
  </si>
  <si>
    <t xml:space="preserve">CON-2029</t>
  </si>
  <si>
    <t xml:space="preserve">a.obrien@crowne.example.org</t>
  </si>
  <si>
    <t xml:space="preserve">+1 (555) 408-5325</t>
  </si>
  <si>
    <t xml:space="preserve">2026-01-25</t>
  </si>
  <si>
    <t xml:space="preserve">CON-2030</t>
  </si>
  <si>
    <t xml:space="preserve">a.mitchell@beacon.example.org</t>
  </si>
  <si>
    <t xml:space="preserve">+1 (555) 849-7939</t>
  </si>
  <si>
    <t xml:space="preserve">2026-03-25</t>
  </si>
  <si>
    <t xml:space="preserve">CON-2031</t>
  </si>
  <si>
    <t xml:space="preserve">James</t>
  </si>
  <si>
    <t xml:space="preserve">Rossi</t>
  </si>
  <si>
    <t xml:space="preserve">Deputy CIO</t>
  </si>
  <si>
    <t xml:space="preserve">j.rossi@beacon.example.org</t>
  </si>
  <si>
    <t xml:space="preserve">+1 (555) 852-5291</t>
  </si>
  <si>
    <t xml:space="preserve">2026-04-23</t>
  </si>
  <si>
    <t xml:space="preserve">CON-2032</t>
  </si>
  <si>
    <t xml:space="preserve">Lindqvist</t>
  </si>
  <si>
    <t xml:space="preserve">Manager Research Lead</t>
  </si>
  <si>
    <t xml:space="preserve">l.lindqvist@stonebridge.example.org</t>
  </si>
  <si>
    <t xml:space="preserve">+1 (555) 774-1158</t>
  </si>
  <si>
    <t xml:space="preserve">2026-05-06</t>
  </si>
  <si>
    <t xml:space="preserve">CON-2033</t>
  </si>
  <si>
    <t xml:space="preserve">a.lindqvist@stonebridge.example.org</t>
  </si>
  <si>
    <t xml:space="preserve">+1 (555) 758-1590</t>
  </si>
  <si>
    <t xml:space="preserve">2026-03-01</t>
  </si>
  <si>
    <t xml:space="preserve">CON-2034</t>
  </si>
  <si>
    <t xml:space="preserve">Nguyen</t>
  </si>
  <si>
    <t xml:space="preserve">l.nguyen@stonebridge.example.org</t>
  </si>
  <si>
    <t xml:space="preserve">+1 (555) 330-1685</t>
  </si>
  <si>
    <t xml:space="preserve">2026-03-17</t>
  </si>
  <si>
    <t xml:space="preserve">CON-2035</t>
  </si>
  <si>
    <t xml:space="preserve">a.kowalski@cascade.example.org</t>
  </si>
  <si>
    <t xml:space="preserve">+1 (555) 898-5088</t>
  </si>
  <si>
    <t xml:space="preserve">2025-12-15</t>
  </si>
  <si>
    <t xml:space="preserve">CON-2036</t>
  </si>
  <si>
    <t xml:space="preserve">Susan</t>
  </si>
  <si>
    <t xml:space="preserve">s.delgado@cascade.example.org</t>
  </si>
  <si>
    <t xml:space="preserve">+1 (555) 835-3532</t>
  </si>
  <si>
    <t xml:space="preserve">2026-04-04</t>
  </si>
  <si>
    <t xml:space="preserve">CON-2037</t>
  </si>
  <si>
    <t xml:space="preserve">a.fernandez@maple.example.org</t>
  </si>
  <si>
    <t xml:space="preserve">+1 (555) 383-6442</t>
  </si>
  <si>
    <t xml:space="preserve">2026-02-18</t>
  </si>
  <si>
    <t xml:space="preserve">CON-2038</t>
  </si>
  <si>
    <t xml:space="preserve">n.schmidt@helvetia.example.org</t>
  </si>
  <si>
    <t xml:space="preserve">+1 (555) 363-2771</t>
  </si>
  <si>
    <t xml:space="preserve">2026-02-26</t>
  </si>
  <si>
    <t xml:space="preserve">CON-2039</t>
  </si>
  <si>
    <t xml:space="preserve">Park</t>
  </si>
  <si>
    <t xml:space="preserve">l.park@helvetia.example.org</t>
  </si>
  <si>
    <t xml:space="preserve">+1 (555) 404-8541</t>
  </si>
  <si>
    <t xml:space="preserve">2026-03-06</t>
  </si>
  <si>
    <t xml:space="preserve">CON-2040</t>
  </si>
  <si>
    <t xml:space="preserve">e.schmidt@helvetia.example.org</t>
  </si>
  <si>
    <t xml:space="preserve">+1 (555) 224-4164</t>
  </si>
  <si>
    <t xml:space="preserve">CON-2041</t>
  </si>
  <si>
    <t xml:space="preserve">l.reyes@nordmark.example.org</t>
  </si>
  <si>
    <t xml:space="preserve">+1 (555) 559-9346</t>
  </si>
  <si>
    <t xml:space="preserve">CON-2042</t>
  </si>
  <si>
    <t xml:space="preserve">e.delgado@nordmark.example.org</t>
  </si>
  <si>
    <t xml:space="preserve">+1 (555) 228-2889</t>
  </si>
  <si>
    <t xml:space="preserve">2026-03-29</t>
  </si>
  <si>
    <t xml:space="preserve">CON-2043</t>
  </si>
  <si>
    <t xml:space="preserve">David</t>
  </si>
  <si>
    <t xml:space="preserve">d.mitchell@greater.example.org</t>
  </si>
  <si>
    <t xml:space="preserve">+1 (555) 810-8119</t>
  </si>
  <si>
    <t xml:space="preserve">2026-03-07</t>
  </si>
  <si>
    <t xml:space="preserve">CON-2044</t>
  </si>
  <si>
    <t xml:space="preserve">Karen</t>
  </si>
  <si>
    <t xml:space="preserve">k.castellano@sakura.example.org</t>
  </si>
  <si>
    <t xml:space="preserve">+1 (555) 318-7311</t>
  </si>
  <si>
    <t xml:space="preserve">2026-01-07</t>
  </si>
  <si>
    <t xml:space="preserve">CON-2045</t>
  </si>
  <si>
    <t xml:space="preserve">d.mitchell@sakura.example.org</t>
  </si>
  <si>
    <t xml:space="preserve">+1 (555) 646-1027</t>
  </si>
  <si>
    <t xml:space="preserve">2026-01-21</t>
  </si>
  <si>
    <t xml:space="preserve">CON-2046</t>
  </si>
  <si>
    <t xml:space="preserve">s.moreau@sakura.example.org</t>
  </si>
  <si>
    <t xml:space="preserve">+1 (555) 954-4228</t>
  </si>
  <si>
    <t xml:space="preserve">2026-03-02</t>
  </si>
  <si>
    <t xml:space="preserve">CON-2047</t>
  </si>
  <si>
    <t xml:space="preserve">Head of Public Markets</t>
  </si>
  <si>
    <t xml:space="preserve">s.rossi@pacifica.example.org</t>
  </si>
  <si>
    <t xml:space="preserve">+1 (555) 521-3041</t>
  </si>
  <si>
    <t xml:space="preserve">2026-03-19</t>
  </si>
  <si>
    <t xml:space="preserve">CON-2048</t>
  </si>
  <si>
    <t xml:space="preserve">e.sato@pacifica.example.org</t>
  </si>
  <si>
    <t xml:space="preserve">+1 (555) 534-7592</t>
  </si>
  <si>
    <t xml:space="preserve">2025-12-07</t>
  </si>
  <si>
    <t xml:space="preserve">CON-2049</t>
  </si>
  <si>
    <t xml:space="preserve">j.obrien@united.example.org</t>
  </si>
  <si>
    <t xml:space="preserve">+1 (555) 880-7211</t>
  </si>
  <si>
    <t xml:space="preserve">2025-12-12</t>
  </si>
  <si>
    <t xml:space="preserve">CON-2050</t>
  </si>
  <si>
    <t xml:space="preserve">Patel</t>
  </si>
  <si>
    <t xml:space="preserve">a.patel@united.example.org</t>
  </si>
  <si>
    <t xml:space="preserve">+1 (555) 782-5930</t>
  </si>
  <si>
    <t xml:space="preserve">2026-02-20</t>
  </si>
  <si>
    <t xml:space="preserve">Opportunity ID</t>
  </si>
  <si>
    <t xml:space="preserve">Opportunity</t>
  </si>
  <si>
    <t xml:space="preserve">Strategy</t>
  </si>
  <si>
    <t xml:space="preserve">Mandate Size ($mm)</t>
  </si>
  <si>
    <t xml:space="preserve">Stage</t>
  </si>
  <si>
    <t xml:space="preserve">Probability</t>
  </si>
  <si>
    <t xml:space="preserve">Weighted ($mm)</t>
  </si>
  <si>
    <t xml:space="preserve">Expected Close</t>
  </si>
  <si>
    <t xml:space="preserve">Owner</t>
  </si>
  <si>
    <t xml:space="preserve">OPP-3001</t>
  </si>
  <si>
    <t xml:space="preserve">Capital Group US Core Equity mandate</t>
  </si>
  <si>
    <t xml:space="preserve">RFP Submitted</t>
  </si>
  <si>
    <t xml:space="preserve">2027-01-26</t>
  </si>
  <si>
    <t xml:space="preserve">OPP-3002</t>
  </si>
  <si>
    <t xml:space="preserve">The Bond Fund of America Strategy mandate</t>
  </si>
  <si>
    <t xml:space="preserve">Finals Presentation</t>
  </si>
  <si>
    <t xml:space="preserve">2026-07-23</t>
  </si>
  <si>
    <t xml:space="preserve">OPP-3003</t>
  </si>
  <si>
    <t xml:space="preserve">Due Diligence</t>
  </si>
  <si>
    <t xml:space="preserve">2026-06-30</t>
  </si>
  <si>
    <t xml:space="preserve">OPP-3004</t>
  </si>
  <si>
    <t xml:space="preserve">Capital Group International Equity mandate</t>
  </si>
  <si>
    <t xml:space="preserve">Prospecting</t>
  </si>
  <si>
    <t xml:space="preserve">2026-07-29</t>
  </si>
  <si>
    <t xml:space="preserve">OPP-3005</t>
  </si>
  <si>
    <t xml:space="preserve">Lost</t>
  </si>
  <si>
    <t xml:space="preserve">2026-04-28</t>
  </si>
  <si>
    <t xml:space="preserve">OPP-3006</t>
  </si>
  <si>
    <t xml:space="preserve">Capital Group Growth mandate</t>
  </si>
  <si>
    <t xml:space="preserve">2027-02-21</t>
  </si>
  <si>
    <t xml:space="preserve">OPP-3007</t>
  </si>
  <si>
    <t xml:space="preserve">2026-10-18</t>
  </si>
  <si>
    <t xml:space="preserve">OPP-3008</t>
  </si>
  <si>
    <t xml:space="preserve">Capital Income Builder mandate</t>
  </si>
  <si>
    <t xml:space="preserve">Qualification</t>
  </si>
  <si>
    <t xml:space="preserve">OPP-3009</t>
  </si>
  <si>
    <t xml:space="preserve">Capital Group Multi-Sector Income mandate</t>
  </si>
  <si>
    <t xml:space="preserve">2026-06-06</t>
  </si>
  <si>
    <t xml:space="preserve">OPP-3010</t>
  </si>
  <si>
    <t xml:space="preserve">EuroPacific Growth mandate</t>
  </si>
  <si>
    <t xml:space="preserve">2027-01-01</t>
  </si>
  <si>
    <t xml:space="preserve">OPP-3011</t>
  </si>
  <si>
    <t xml:space="preserve">American Funds Target Date Series mandate</t>
  </si>
  <si>
    <t xml:space="preserve">2026-11-09</t>
  </si>
  <si>
    <t xml:space="preserve">OPP-3012</t>
  </si>
  <si>
    <t xml:space="preserve">2026-06-25</t>
  </si>
  <si>
    <t xml:space="preserve">OPP-3013</t>
  </si>
  <si>
    <t xml:space="preserve">2026-08-24</t>
  </si>
  <si>
    <t xml:space="preserve">OPP-3014</t>
  </si>
  <si>
    <t xml:space="preserve">2026-08-05</t>
  </si>
  <si>
    <t xml:space="preserve">OPP-3015</t>
  </si>
  <si>
    <t xml:space="preserve">Won</t>
  </si>
  <si>
    <t xml:space="preserve">2026-09-23</t>
  </si>
  <si>
    <t xml:space="preserve">OPP-3016</t>
  </si>
  <si>
    <t xml:space="preserve">2026-06-22</t>
  </si>
  <si>
    <t xml:space="preserve">OPP-3017</t>
  </si>
  <si>
    <t xml:space="preserve">OPP-3018</t>
  </si>
  <si>
    <t xml:space="preserve">Capital Group Core Plus Income mandate</t>
  </si>
  <si>
    <t xml:space="preserve">2027-01-29</t>
  </si>
  <si>
    <t xml:space="preserve">OPP-3019</t>
  </si>
  <si>
    <t xml:space="preserve">Capital Group New Perspective mandate</t>
  </si>
  <si>
    <t xml:space="preserve">2026-09-04</t>
  </si>
  <si>
    <t xml:space="preserve">OPP-3020</t>
  </si>
  <si>
    <t xml:space="preserve">2026-11-05</t>
  </si>
  <si>
    <t xml:space="preserve">OPP-3021</t>
  </si>
  <si>
    <t xml:space="preserve">2026-12-09</t>
  </si>
  <si>
    <t xml:space="preserve">OPP-3022</t>
  </si>
  <si>
    <t xml:space="preserve">2026-06-28</t>
  </si>
  <si>
    <t xml:space="preserve">OPP-3023</t>
  </si>
  <si>
    <t xml:space="preserve">2027-02-17</t>
  </si>
  <si>
    <t xml:space="preserve">OPP-3024</t>
  </si>
  <si>
    <t xml:space="preserve">Capital Group Emerging Markets Debt mandate</t>
  </si>
  <si>
    <t xml:space="preserve">2026-05-17</t>
  </si>
  <si>
    <t xml:space="preserve">OPP-3025</t>
  </si>
  <si>
    <t xml:space="preserve">2026-11-27</t>
  </si>
  <si>
    <t xml:space="preserve">OPP-3026</t>
  </si>
  <si>
    <t xml:space="preserve">Capital Group World Dividend Growers mandate</t>
  </si>
  <si>
    <t xml:space="preserve">2026-09-19</t>
  </si>
  <si>
    <t xml:space="preserve">OPP-3027</t>
  </si>
  <si>
    <t xml:space="preserve">2026-11-06</t>
  </si>
  <si>
    <t xml:space="preserve">OPP-3028</t>
  </si>
  <si>
    <t xml:space="preserve">2026-05-01</t>
  </si>
  <si>
    <t xml:space="preserve">OPP-3029</t>
  </si>
  <si>
    <t xml:space="preserve">2026-04-20</t>
  </si>
  <si>
    <t xml:space="preserve">Activity ID</t>
  </si>
  <si>
    <t xml:space="preserve">Date</t>
  </si>
  <si>
    <t xml:space="preserve">Contact</t>
  </si>
  <si>
    <t xml:space="preserve">Subject</t>
  </si>
  <si>
    <t xml:space="preserve">Next Step</t>
  </si>
  <si>
    <t xml:space="preserve">ACT-4008</t>
  </si>
  <si>
    <t xml:space="preserve">Chen Hoffman</t>
  </si>
  <si>
    <t xml:space="preserve">Meeting</t>
  </si>
  <si>
    <t xml:space="preserve">Board education session</t>
  </si>
  <si>
    <t xml:space="preserve">Share peer benchmarking data</t>
  </si>
  <si>
    <t xml:space="preserve">ACT-4040</t>
  </si>
  <si>
    <t xml:space="preserve">Aisha Caldwell</t>
  </si>
  <si>
    <t xml:space="preserve">Call</t>
  </si>
  <si>
    <t xml:space="preserve">Mandate funding logistics</t>
  </si>
  <si>
    <t xml:space="preserve">No action - relationship healthy</t>
  </si>
  <si>
    <t xml:space="preserve">ACT-4056</t>
  </si>
  <si>
    <t xml:space="preserve">2026-05-11</t>
  </si>
  <si>
    <t xml:space="preserve">Emma Delgado</t>
  </si>
  <si>
    <t xml:space="preserve">Portfolio Review</t>
  </si>
  <si>
    <t xml:space="preserve">Annual portfolio review completed</t>
  </si>
  <si>
    <t xml:space="preserve">Schedule finals presentation</t>
  </si>
  <si>
    <t xml:space="preserve">ACT-4004</t>
  </si>
  <si>
    <t xml:space="preserve">2026-05-07</t>
  </si>
  <si>
    <t xml:space="preserve">Lisa Schmidt</t>
  </si>
  <si>
    <t xml:space="preserve">Performance check-in call</t>
  </si>
  <si>
    <t xml:space="preserve">ACT-4002</t>
  </si>
  <si>
    <t xml:space="preserve">2026-05-05</t>
  </si>
  <si>
    <t xml:space="preserve">Mateo Tanaka</t>
  </si>
  <si>
    <t xml:space="preserve">Conference</t>
  </si>
  <si>
    <t xml:space="preserve">Pension consultant conference</t>
  </si>
  <si>
    <t xml:space="preserve">Prepare fee proposal</t>
  </si>
  <si>
    <t xml:space="preserve">ACT-4028</t>
  </si>
  <si>
    <t xml:space="preserve">Mary Brooks</t>
  </si>
  <si>
    <t xml:space="preserve">Sent Q1 attribution report</t>
  </si>
  <si>
    <t xml:space="preserve">Coordinate funding paperwork</t>
  </si>
  <si>
    <t xml:space="preserve">ACT-4050</t>
  </si>
  <si>
    <t xml:space="preserve">Aisha Fernandez</t>
  </si>
  <si>
    <t xml:space="preserve">ESG policy documentation</t>
  </si>
  <si>
    <t xml:space="preserve">Send follow-up deck</t>
  </si>
  <si>
    <t xml:space="preserve">ACT-4054</t>
  </si>
  <si>
    <t xml:space="preserve">2026-05-03</t>
  </si>
  <si>
    <t xml:space="preserve">Webinar</t>
  </si>
  <si>
    <t xml:space="preserve">Invited to fixed income webinar</t>
  </si>
  <si>
    <t xml:space="preserve">ACT-4001</t>
  </si>
  <si>
    <t xml:space="preserve">John Sato</t>
  </si>
  <si>
    <t xml:space="preserve">Await consultant feedback</t>
  </si>
  <si>
    <t xml:space="preserve">ACT-4057</t>
  </si>
  <si>
    <t xml:space="preserve">Lucas Reyes</t>
  </si>
  <si>
    <t xml:space="preserve">Hosted at Capital Group symposium</t>
  </si>
  <si>
    <t xml:space="preserve">ACT-4034</t>
  </si>
  <si>
    <t xml:space="preserve">2026-04-24</t>
  </si>
  <si>
    <t xml:space="preserve">Anneke Hoffman</t>
  </si>
  <si>
    <t xml:space="preserve">Followed up on RFP questions</t>
  </si>
  <si>
    <t xml:space="preserve">ACT-4035</t>
  </si>
  <si>
    <t xml:space="preserve">ACT-4045</t>
  </si>
  <si>
    <t xml:space="preserve">Aisha Mitchell</t>
  </si>
  <si>
    <t xml:space="preserve">Risk &amp; positioning deep-dive</t>
  </si>
  <si>
    <t xml:space="preserve">ACT-4063</t>
  </si>
  <si>
    <t xml:space="preserve">2026-04-16</t>
  </si>
  <si>
    <t xml:space="preserve">Elizabeth Sato</t>
  </si>
  <si>
    <t xml:space="preserve">ACT-4021</t>
  </si>
  <si>
    <t xml:space="preserve">2026-04-15</t>
  </si>
  <si>
    <t xml:space="preserve">Jennifer Fernandez</t>
  </si>
  <si>
    <t xml:space="preserve">Consultant intro call</t>
  </si>
  <si>
    <t xml:space="preserve">ACT-4033</t>
  </si>
  <si>
    <t xml:space="preserve">2026-04-11</t>
  </si>
  <si>
    <t xml:space="preserve">Benchmark customization review</t>
  </si>
  <si>
    <t xml:space="preserve">ACT-4044</t>
  </si>
  <si>
    <t xml:space="preserve">2026-04-06</t>
  </si>
  <si>
    <t xml:space="preserve">Quarterly relationship review</t>
  </si>
  <si>
    <t xml:space="preserve">ACT-4064</t>
  </si>
  <si>
    <t xml:space="preserve">2026-04-05</t>
  </si>
  <si>
    <t xml:space="preserve">ACT-4006</t>
  </si>
  <si>
    <t xml:space="preserve">2026-04-02</t>
  </si>
  <si>
    <t xml:space="preserve">Liam Mitchell</t>
  </si>
  <si>
    <t xml:space="preserve">ACT-4038</t>
  </si>
  <si>
    <t xml:space="preserve">John Kowalski</t>
  </si>
  <si>
    <t xml:space="preserve">Retirement income webinar</t>
  </si>
  <si>
    <t xml:space="preserve">ACT-4069</t>
  </si>
  <si>
    <t xml:space="preserve">Aisha Patel</t>
  </si>
  <si>
    <t xml:space="preserve">On-site portfolio review</t>
  </si>
  <si>
    <t xml:space="preserve">ACT-4011</t>
  </si>
  <si>
    <t xml:space="preserve">2026-03-27</t>
  </si>
  <si>
    <t xml:space="preserve">Joseph Moreau</t>
  </si>
  <si>
    <t xml:space="preserve">ACT-4020</t>
  </si>
  <si>
    <t xml:space="preserve">Shared market outlook piece</t>
  </si>
  <si>
    <t xml:space="preserve">ACT-4015</t>
  </si>
  <si>
    <t xml:space="preserve">John Fernandez</t>
  </si>
  <si>
    <t xml:space="preserve">ACT-4037</t>
  </si>
  <si>
    <t xml:space="preserve">Joseph Delgado</t>
  </si>
  <si>
    <t xml:space="preserve">Fee schedule discussion</t>
  </si>
  <si>
    <t xml:space="preserve">ACT-4023</t>
  </si>
  <si>
    <t xml:space="preserve">2026-03-20</t>
  </si>
  <si>
    <t xml:space="preserve">Richard Anderson</t>
  </si>
  <si>
    <t xml:space="preserve">Strategy due-diligence meeting</t>
  </si>
  <si>
    <t xml:space="preserve">Escalate retention plan</t>
  </si>
  <si>
    <t xml:space="preserve">ACT-4061</t>
  </si>
  <si>
    <t xml:space="preserve">Sofia Moreau</t>
  </si>
  <si>
    <t xml:space="preserve">ACT-4030</t>
  </si>
  <si>
    <t xml:space="preserve">2026-03-18</t>
  </si>
  <si>
    <t xml:space="preserve">Sofia Bauer</t>
  </si>
  <si>
    <t xml:space="preserve">ACT-4055</t>
  </si>
  <si>
    <t xml:space="preserve">2026-03-16</t>
  </si>
  <si>
    <t xml:space="preserve">ACT-4013</t>
  </si>
  <si>
    <t xml:space="preserve">2026-03-09</t>
  </si>
  <si>
    <t xml:space="preserve">ACT-4027</t>
  </si>
  <si>
    <t xml:space="preserve">2026-03-08</t>
  </si>
  <si>
    <t xml:space="preserve">Met at Annual Institutional Forum</t>
  </si>
  <si>
    <t xml:space="preserve">ACT-4007</t>
  </si>
  <si>
    <t xml:space="preserve">Linda Larsson</t>
  </si>
  <si>
    <t xml:space="preserve">ACT-4062</t>
  </si>
  <si>
    <t xml:space="preserve">ACT-4009</t>
  </si>
  <si>
    <t xml:space="preserve">2026-03-03</t>
  </si>
  <si>
    <t xml:space="preserve">ACT-4003</t>
  </si>
  <si>
    <t xml:space="preserve">ACT-4005</t>
  </si>
  <si>
    <t xml:space="preserve">2026-02-27</t>
  </si>
  <si>
    <t xml:space="preserve">ACT-4065</t>
  </si>
  <si>
    <t xml:space="preserve">ACT-4059</t>
  </si>
  <si>
    <t xml:space="preserve">2026-02-25</t>
  </si>
  <si>
    <t xml:space="preserve">David Mitchell</t>
  </si>
  <si>
    <t xml:space="preserve">ACT-4018</t>
  </si>
  <si>
    <t xml:space="preserve">Noah Delgado</t>
  </si>
  <si>
    <t xml:space="preserve">ACT-4042</t>
  </si>
  <si>
    <t xml:space="preserve">Anneke O'Brien</t>
  </si>
  <si>
    <t xml:space="preserve">Global equity outlook webinar</t>
  </si>
  <si>
    <t xml:space="preserve">ACT-4016</t>
  </si>
  <si>
    <t xml:space="preserve">2026-02-19</t>
  </si>
  <si>
    <t xml:space="preserve">William Caldwell</t>
  </si>
  <si>
    <t xml:space="preserve">ACT-4047</t>
  </si>
  <si>
    <t xml:space="preserve">Aisha Lindqvist</t>
  </si>
  <si>
    <t xml:space="preserve">ACT-4068</t>
  </si>
  <si>
    <t xml:space="preserve">John O'Brien</t>
  </si>
  <si>
    <t xml:space="preserve">ACT-4048</t>
  </si>
  <si>
    <t xml:space="preserve">Susan Delgado</t>
  </si>
  <si>
    <t xml:space="preserve">ACT-4051</t>
  </si>
  <si>
    <t xml:space="preserve">ACT-4031</t>
  </si>
  <si>
    <t xml:space="preserve">2026-02-17</t>
  </si>
  <si>
    <t xml:space="preserve">ACT-4060</t>
  </si>
  <si>
    <t xml:space="preserve">ACT-4019</t>
  </si>
  <si>
    <t xml:space="preserve">ACT-4032</t>
  </si>
  <si>
    <t xml:space="preserve">2026-02-14</t>
  </si>
  <si>
    <t xml:space="preserve">ACT-4043</t>
  </si>
  <si>
    <t xml:space="preserve">2026-02-13</t>
  </si>
  <si>
    <t xml:space="preserve">ACT-4041</t>
  </si>
  <si>
    <t xml:space="preserve">ACT-4012</t>
  </si>
  <si>
    <t xml:space="preserve">2026-02-08</t>
  </si>
  <si>
    <t xml:space="preserve">ACT-4049</t>
  </si>
  <si>
    <t xml:space="preserve">2026-02-07</t>
  </si>
  <si>
    <t xml:space="preserve">ACT-4036</t>
  </si>
  <si>
    <t xml:space="preserve">2026-02-03</t>
  </si>
  <si>
    <t xml:space="preserve">ACT-4058</t>
  </si>
  <si>
    <t xml:space="preserve">ACT-4022</t>
  </si>
  <si>
    <t xml:space="preserve">2026-01-31</t>
  </si>
  <si>
    <t xml:space="preserve">ACT-4014</t>
  </si>
  <si>
    <t xml:space="preserve">2026-01-30</t>
  </si>
  <si>
    <t xml:space="preserve">Patricia Caldwell</t>
  </si>
  <si>
    <t xml:space="preserve">ACT-4017</t>
  </si>
  <si>
    <t xml:space="preserve">2026-01-29</t>
  </si>
  <si>
    <t xml:space="preserve">ACT-4052</t>
  </si>
  <si>
    <t xml:space="preserve">2026-01-27</t>
  </si>
  <si>
    <t xml:space="preserve">ACT-4066</t>
  </si>
  <si>
    <t xml:space="preserve">2026-01-26</t>
  </si>
  <si>
    <t xml:space="preserve">ACT-4010</t>
  </si>
  <si>
    <t xml:space="preserve">ACT-4067</t>
  </si>
  <si>
    <t xml:space="preserve">2026-01-20</t>
  </si>
  <si>
    <t xml:space="preserve">ACT-4024</t>
  </si>
  <si>
    <t xml:space="preserve">2026-01-18</t>
  </si>
  <si>
    <t xml:space="preserve">Ingrid Delgado</t>
  </si>
  <si>
    <t xml:space="preserve">ACT-4039</t>
  </si>
  <si>
    <t xml:space="preserve">2026-01-15</t>
  </si>
  <si>
    <t xml:space="preserve">ACT-4053</t>
  </si>
  <si>
    <t xml:space="preserve">2026-01-14</t>
  </si>
  <si>
    <t xml:space="preserve">Lucas Park</t>
  </si>
  <si>
    <t xml:space="preserve">ACT-4025</t>
  </si>
  <si>
    <t xml:space="preserve">2026-01-13</t>
  </si>
  <si>
    <t xml:space="preserve">ACT-4026</t>
  </si>
  <si>
    <t xml:space="preserve">2026-01-08</t>
  </si>
  <si>
    <t xml:space="preserve">Mary Mitchell</t>
  </si>
  <si>
    <t xml:space="preserve">ACT-4029</t>
  </si>
  <si>
    <t xml:space="preserve">ACT-4046</t>
  </si>
  <si>
    <t xml:space="preserve">2026-01-05</t>
  </si>
  <si>
    <t xml:space="preserve">AUM by Client Type ($mm)</t>
  </si>
  <si>
    <t xml:space="preserve">Client Type</t>
  </si>
  <si>
    <t xml:space="preserve"># Accounts</t>
  </si>
  <si>
    <t xml:space="preserve">AUM ($mm)</t>
  </si>
  <si>
    <t xml:space="preserve">% of Total</t>
  </si>
  <si>
    <t xml:space="preserve">Pipeline by Stage</t>
  </si>
  <si>
    <t xml:space="preserve"># Opps</t>
  </si>
  <si>
    <t xml:space="preserve">Mandate $mm</t>
  </si>
  <si>
    <t xml:space="preserve">Institutional Client Group — Team &amp; Reporting Structure (MOCK)</t>
  </si>
  <si>
    <t xml:space="preserve">Fictional team. 'Direct Accounts' and 'Direct AUM' are live formulas counting accounts where the person is named Relationship Mgr on the Accounts sheet (managers oversee via reports, so they show 0 direct).</t>
  </si>
  <si>
    <t xml:space="preserve">Employee ID</t>
  </si>
  <si>
    <t xml:space="preserve">Name</t>
  </si>
  <si>
    <t xml:space="preserve">Level</t>
  </si>
  <si>
    <t xml:space="preserve">Reports To</t>
  </si>
  <si>
    <t xml:space="preserve">Manager ID</t>
  </si>
  <si>
    <t xml:space="preserve">Function / Segment</t>
  </si>
  <si>
    <t xml:space="preserve">Location</t>
  </si>
  <si>
    <t xml:space="preserve">Direct Accounts</t>
  </si>
  <si>
    <t xml:space="preserve">Direct AUM ($mm)</t>
  </si>
  <si>
    <t xml:space="preserve">E-100</t>
  </si>
  <si>
    <t xml:space="preserve">Katherine Reynolds</t>
  </si>
  <si>
    <t xml:space="preserve">Head of Institutional Client Group</t>
  </si>
  <si>
    <t xml:space="preserve">— (President, Capital Client Group)</t>
  </si>
  <si>
    <t xml:space="preserve">—</t>
  </si>
  <si>
    <t xml:space="preserve">Institutional Client Group (all)</t>
  </si>
  <si>
    <t xml:space="preserve">Los Angeles, CA</t>
  </si>
  <si>
    <t xml:space="preserve">k.reynolds@capitalgroup-mock.example.com</t>
  </si>
  <si>
    <t xml:space="preserve">E-110</t>
  </si>
  <si>
    <t xml:space="preserve">Gregory Tanaka</t>
  </si>
  <si>
    <t xml:space="preserve">Managing Director — Public Funds &amp; Pensions (Americas)</t>
  </si>
  <si>
    <t xml:space="preserve">Public Funds &amp; Pensions — Americas</t>
  </si>
  <si>
    <t xml:space="preserve">New York, NY</t>
  </si>
  <si>
    <t xml:space="preserve">g.tanaka@capitalgroup-mock.example.com</t>
  </si>
  <si>
    <t xml:space="preserve">E-120</t>
  </si>
  <si>
    <t xml:space="preserve">Helena Brandt</t>
  </si>
  <si>
    <t xml:space="preserve">Managing Director — Corporate DB/DC &amp; Sub-Advisory</t>
  </si>
  <si>
    <t xml:space="preserve">Corporate DB/DC &amp; Sub-Advisory</t>
  </si>
  <si>
    <t xml:space="preserve">h.brandt@capitalgroup-mock.example.com</t>
  </si>
  <si>
    <t xml:space="preserve">E-130</t>
  </si>
  <si>
    <t xml:space="preserve">Victor Almeida</t>
  </si>
  <si>
    <t xml:space="preserve">Managing Director — EMEA / APAC / Sovereign</t>
  </si>
  <si>
    <t xml:space="preserve">EMEA / APAC / Sovereign</t>
  </si>
  <si>
    <t xml:space="preserve">London, UK</t>
  </si>
  <si>
    <t xml:space="preserve">v.almeida@capitalgroup-mock.example.com</t>
  </si>
  <si>
    <t xml:space="preserve">E-140</t>
  </si>
  <si>
    <t xml:space="preserve">Janet Osei</t>
  </si>
  <si>
    <t xml:space="preserve">Director — Client Service &amp; Operations</t>
  </si>
  <si>
    <t xml:space="preserve">Client Service &amp; Operations</t>
  </si>
  <si>
    <t xml:space="preserve">Irvine, CA</t>
  </si>
  <si>
    <t xml:space="preserve">j.osei@capitalgroup-mock.example.com</t>
  </si>
  <si>
    <t xml:space="preserve">E-111</t>
  </si>
  <si>
    <t xml:space="preserve">Senior Relationship Director</t>
  </si>
  <si>
    <t xml:space="preserve">Chicago, IL</t>
  </si>
  <si>
    <t xml:space="preserve">d.okafor@capitalgroup-mock.example.com</t>
  </si>
  <si>
    <t xml:space="preserve">E-112</t>
  </si>
  <si>
    <t xml:space="preserve">Relationship Manager</t>
  </si>
  <si>
    <t xml:space="preserve">m.hale@capitalgroup-mock.example.com</t>
  </si>
  <si>
    <t xml:space="preserve">E-113</t>
  </si>
  <si>
    <t xml:space="preserve">San Francisco, CA</t>
  </si>
  <si>
    <t xml:space="preserve">t.brennan@capitalgroup-mock.example.com</t>
  </si>
  <si>
    <t xml:space="preserve">E-121</t>
  </si>
  <si>
    <t xml:space="preserve">s.marchetti@capitalgroup-mock.example.com</t>
  </si>
  <si>
    <t xml:space="preserve">E-122</t>
  </si>
  <si>
    <t xml:space="preserve">Charlotte, NC</t>
  </si>
  <si>
    <t xml:space="preserve">r.lambert@capitalgroup-mock.example.com</t>
  </si>
  <si>
    <t xml:space="preserve">E-123</t>
  </si>
  <si>
    <t xml:space="preserve">d.cho@capitalgroup-mock.example.com</t>
  </si>
  <si>
    <t xml:space="preserve">E-131</t>
  </si>
  <si>
    <t xml:space="preserve">p.venkatesan@capitalgroup-mock.example.com</t>
  </si>
  <si>
    <t xml:space="preserve">E-132</t>
  </si>
  <si>
    <t xml:space="preserve">Singapore</t>
  </si>
  <si>
    <t xml:space="preserve">o.fitzgerald@capitalgroup-mock.example.com</t>
  </si>
  <si>
    <t xml:space="preserve">E-114</t>
  </si>
  <si>
    <t xml:space="preserve">Lucas Bauer</t>
  </si>
  <si>
    <t xml:space="preserve">Investment Specialist</t>
  </si>
  <si>
    <t xml:space="preserve">l.bauer@capitalgroup-mock.example.com</t>
  </si>
  <si>
    <t xml:space="preserve">E-124</t>
  </si>
  <si>
    <t xml:space="preserve">Emma Lindqvist</t>
  </si>
  <si>
    <t xml:space="preserve">Client Analyst</t>
  </si>
  <si>
    <t xml:space="preserve">e.lindqvist@capitalgroup-mock.example.com</t>
  </si>
  <si>
    <t xml:space="preserve">E-141</t>
  </si>
  <si>
    <t xml:space="preserve">Aaron Whitfield</t>
  </si>
  <si>
    <t xml:space="preserve">Client Service Associate</t>
  </si>
  <si>
    <t xml:space="preserve">a.whitfield@capitalgroup-mock.example.com</t>
  </si>
  <si>
    <t xml:space="preserve">E-142</t>
  </si>
  <si>
    <t xml:space="preserve">Mia Delgado</t>
  </si>
  <si>
    <t xml:space="preserve">m.delgado@capitalgroup-mock.example.com</t>
  </si>
  <si>
    <t xml:space="preserve">E-143</t>
  </si>
  <si>
    <t xml:space="preserve">Ravi Patel</t>
  </si>
  <si>
    <t xml:space="preserve">Onboarding &amp; Reporting Analyst</t>
  </si>
  <si>
    <t xml:space="preserve">r.patel@capitalgroup-mock.example.com</t>
  </si>
  <si>
    <t xml:space="preserve">Org Tree (who reports to whom)</t>
  </si>
  <si>
    <t xml:space="preserve">Katherine Reynolds  —  Head of Institutional Client Group</t>
  </si>
  <si>
    <t xml:space="preserve">    └─ Gregory Tanaka  —  Managing Director — Public Funds &amp; Pensions (Americas)</t>
  </si>
  <si>
    <t xml:space="preserve">        └─ Diane Okafor  —  Senior Relationship Director</t>
  </si>
  <si>
    <t xml:space="preserve">        └─ Marcus Hale  —  Relationship Manager</t>
  </si>
  <si>
    <t xml:space="preserve">            └─ Lucas Bauer  —  Investment Specialist</t>
  </si>
  <si>
    <t xml:space="preserve">        └─ Tom Brennan  —  Relationship Manager</t>
  </si>
  <si>
    <t xml:space="preserve">    └─ Helena Brandt  —  Managing Director — Corporate DB/DC &amp; Sub-Advisory</t>
  </si>
  <si>
    <t xml:space="preserve">        └─ Sofia Marchetti  —  Relationship Manager</t>
  </si>
  <si>
    <t xml:space="preserve">            └─ Emma Lindqvist  —  Client Analyst</t>
  </si>
  <si>
    <t xml:space="preserve">        └─ Renee Lambert  —  Relationship Manager</t>
  </si>
  <si>
    <t xml:space="preserve">        └─ Daniel Cho  —  Relationship Manager</t>
  </si>
  <si>
    <t xml:space="preserve">    └─ Victor Almeida  —  Managing Director — EMEA / APAC / Sovereign</t>
  </si>
  <si>
    <t xml:space="preserve">        └─ Priya Venkatesan  —  Relationship Manager</t>
  </si>
  <si>
    <t xml:space="preserve">        └─ Owen Fitzgerald  —  Relationship Manager</t>
  </si>
  <si>
    <t xml:space="preserve">    └─ Janet Osei  —  Director — Client Service &amp; Operations</t>
  </si>
  <si>
    <t xml:space="preserve">        └─ Aaron Whitfield  —  Client Service Associate</t>
  </si>
  <si>
    <t xml:space="preserve">        └─ Mia Delgado  —  Client Service Associate</t>
  </si>
  <si>
    <t xml:space="preserve">        └─ Ravi Patel  —  Onboarding &amp; Reporting Analyst</t>
  </si>
  <si>
    <t xml:space="preserve">Levels:</t>
  </si>
  <si>
    <t xml:space="preserve">L1  Head</t>
  </si>
  <si>
    <t xml:space="preserve">L2  Managing Director / Director</t>
  </si>
  <si>
    <t xml:space="preserve">L3  Relationship Manager</t>
  </si>
  <si>
    <t xml:space="preserve">L4  Specialist / Analyst / CSA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</si>
</sst>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%"/>
    <numFmt numFmtId="167" formatCode="General"/>
    <numFmt numFmtId="168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E5496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8FAADC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/>
    </row>
    <row r="23" customFormat="false" ht="15" hidden="false" customHeight="true" outlineLevel="0" collapsed="false">
      <c r="A23" s="3" t="s">
        <v>18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4" min="4" style="1" width="11"/>
    <col collapsed="false" customWidth="true" hidden="false" outlineLevel="0" max="5" min="5" style="1" width="14"/>
    <col collapsed="false" customWidth="true" hidden="false" outlineLevel="0" max="6" min="6" style="1" width="17"/>
    <col collapsed="false" customWidth="true" hidden="false" outlineLevel="0" max="8" min="7" style="1" width="12"/>
    <col collapsed="false" customWidth="true" hidden="false" outlineLevel="0" max="9" min="9" style="1" width="40"/>
    <col collapsed="false" customWidth="true" hidden="false" outlineLevel="0" max="11" min="10" style="1" width="18"/>
    <col collapsed="false" customWidth="true" hidden="false" outlineLevel="0" max="12" min="12" style="1" width="11"/>
  </cols>
  <sheetData>
    <row r="1" customFormat="false" ht="26.25" hidden="false" customHeight="tru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</row>
    <row r="2" customFormat="false" ht="15" hidden="false" customHeight="true" outlineLevel="0" collapsed="false">
      <c r="A2" s="7" t="s">
        <v>31</v>
      </c>
      <c r="B2" s="8" t="s">
        <v>32</v>
      </c>
      <c r="C2" s="8" t="s">
        <v>33</v>
      </c>
      <c r="D2" s="7" t="s">
        <v>34</v>
      </c>
      <c r="E2" s="8" t="s">
        <v>35</v>
      </c>
      <c r="F2" s="9" t="n">
        <v>685.4</v>
      </c>
      <c r="G2" s="7" t="s">
        <v>36</v>
      </c>
      <c r="H2" s="7" t="n">
        <v>2005</v>
      </c>
      <c r="I2" s="8" t="s">
        <v>37</v>
      </c>
      <c r="J2" s="8" t="s">
        <v>38</v>
      </c>
      <c r="K2" s="8" t="s">
        <v>39</v>
      </c>
      <c r="L2" s="7" t="s">
        <v>40</v>
      </c>
    </row>
    <row r="3" customFormat="false" ht="15" hidden="false" customHeight="true" outlineLevel="0" collapsed="false">
      <c r="A3" s="10" t="s">
        <v>41</v>
      </c>
      <c r="B3" s="11" t="s">
        <v>42</v>
      </c>
      <c r="C3" s="11" t="s">
        <v>33</v>
      </c>
      <c r="D3" s="10" t="s">
        <v>34</v>
      </c>
      <c r="E3" s="11" t="s">
        <v>43</v>
      </c>
      <c r="F3" s="12" t="n">
        <v>0</v>
      </c>
      <c r="G3" s="10" t="s">
        <v>36</v>
      </c>
      <c r="H3" s="10"/>
      <c r="I3" s="11" t="s">
        <v>44</v>
      </c>
      <c r="J3" s="11" t="s">
        <v>45</v>
      </c>
      <c r="K3" s="11" t="s">
        <v>46</v>
      </c>
      <c r="L3" s="10" t="s">
        <v>47</v>
      </c>
    </row>
    <row r="4" customFormat="false" ht="15" hidden="false" customHeight="true" outlineLevel="0" collapsed="false">
      <c r="A4" s="7" t="s">
        <v>48</v>
      </c>
      <c r="B4" s="8" t="s">
        <v>49</v>
      </c>
      <c r="C4" s="8" t="s">
        <v>33</v>
      </c>
      <c r="D4" s="7" t="s">
        <v>34</v>
      </c>
      <c r="E4" s="8" t="s">
        <v>50</v>
      </c>
      <c r="F4" s="9" t="n">
        <v>1230.2</v>
      </c>
      <c r="G4" s="7" t="s">
        <v>51</v>
      </c>
      <c r="H4" s="7" t="n">
        <v>1998</v>
      </c>
      <c r="I4" s="8" t="s">
        <v>52</v>
      </c>
      <c r="J4" s="8" t="s">
        <v>53</v>
      </c>
      <c r="K4" s="8" t="s">
        <v>39</v>
      </c>
      <c r="L4" s="7" t="s">
        <v>40</v>
      </c>
    </row>
    <row r="5" customFormat="false" ht="15" hidden="false" customHeight="true" outlineLevel="0" collapsed="false">
      <c r="A5" s="10" t="s">
        <v>54</v>
      </c>
      <c r="B5" s="11" t="s">
        <v>55</v>
      </c>
      <c r="C5" s="11" t="s">
        <v>33</v>
      </c>
      <c r="D5" s="10" t="s">
        <v>34</v>
      </c>
      <c r="E5" s="11" t="s">
        <v>56</v>
      </c>
      <c r="F5" s="12" t="n">
        <v>0</v>
      </c>
      <c r="G5" s="10" t="s">
        <v>51</v>
      </c>
      <c r="H5" s="10"/>
      <c r="I5" s="11" t="s">
        <v>57</v>
      </c>
      <c r="J5" s="11" t="s">
        <v>58</v>
      </c>
      <c r="K5" s="11" t="s">
        <v>46</v>
      </c>
      <c r="L5" s="10" t="s">
        <v>47</v>
      </c>
    </row>
    <row r="6" customFormat="false" ht="15" hidden="false" customHeight="true" outlineLevel="0" collapsed="false">
      <c r="A6" s="7" t="s">
        <v>59</v>
      </c>
      <c r="B6" s="8" t="s">
        <v>60</v>
      </c>
      <c r="C6" s="8" t="s">
        <v>61</v>
      </c>
      <c r="D6" s="7" t="s">
        <v>34</v>
      </c>
      <c r="E6" s="8" t="s">
        <v>62</v>
      </c>
      <c r="F6" s="9" t="n">
        <v>839.7</v>
      </c>
      <c r="G6" s="7" t="s">
        <v>63</v>
      </c>
      <c r="H6" s="7" t="n">
        <v>2002</v>
      </c>
      <c r="I6" s="8" t="s">
        <v>64</v>
      </c>
      <c r="J6" s="8" t="s">
        <v>65</v>
      </c>
      <c r="K6" s="8" t="s">
        <v>66</v>
      </c>
      <c r="L6" s="7" t="s">
        <v>40</v>
      </c>
    </row>
    <row r="7" customFormat="false" ht="15" hidden="false" customHeight="true" outlineLevel="0" collapsed="false">
      <c r="A7" s="10" t="s">
        <v>67</v>
      </c>
      <c r="B7" s="11" t="s">
        <v>68</v>
      </c>
      <c r="C7" s="11" t="s">
        <v>61</v>
      </c>
      <c r="D7" s="10" t="s">
        <v>34</v>
      </c>
      <c r="E7" s="11" t="s">
        <v>69</v>
      </c>
      <c r="F7" s="12" t="n">
        <v>884</v>
      </c>
      <c r="G7" s="10" t="s">
        <v>51</v>
      </c>
      <c r="H7" s="10" t="n">
        <v>2009</v>
      </c>
      <c r="I7" s="11" t="s">
        <v>70</v>
      </c>
      <c r="J7" s="11" t="s">
        <v>58</v>
      </c>
      <c r="K7" s="11" t="s">
        <v>46</v>
      </c>
      <c r="L7" s="10" t="s">
        <v>40</v>
      </c>
    </row>
    <row r="8" customFormat="false" ht="15" hidden="false" customHeight="true" outlineLevel="0" collapsed="false">
      <c r="A8" s="7" t="s">
        <v>71</v>
      </c>
      <c r="B8" s="8" t="s">
        <v>72</v>
      </c>
      <c r="C8" s="8" t="s">
        <v>73</v>
      </c>
      <c r="D8" s="7" t="s">
        <v>34</v>
      </c>
      <c r="E8" s="8" t="s">
        <v>74</v>
      </c>
      <c r="F8" s="9" t="n">
        <v>2336.4</v>
      </c>
      <c r="G8" s="7" t="s">
        <v>51</v>
      </c>
      <c r="H8" s="7" t="n">
        <v>2010</v>
      </c>
      <c r="I8" s="8" t="s">
        <v>75</v>
      </c>
      <c r="J8" s="8" t="s">
        <v>58</v>
      </c>
      <c r="K8" s="8" t="s">
        <v>39</v>
      </c>
      <c r="L8" s="7" t="s">
        <v>76</v>
      </c>
    </row>
    <row r="9" customFormat="false" ht="15" hidden="false" customHeight="true" outlineLevel="0" collapsed="false">
      <c r="A9" s="10" t="s">
        <v>77</v>
      </c>
      <c r="B9" s="11" t="s">
        <v>78</v>
      </c>
      <c r="C9" s="11" t="s">
        <v>73</v>
      </c>
      <c r="D9" s="10" t="s">
        <v>34</v>
      </c>
      <c r="E9" s="11" t="s">
        <v>79</v>
      </c>
      <c r="F9" s="12" t="n">
        <v>0</v>
      </c>
      <c r="G9" s="10" t="s">
        <v>63</v>
      </c>
      <c r="H9" s="10"/>
      <c r="I9" s="11" t="s">
        <v>80</v>
      </c>
      <c r="J9" s="11" t="s">
        <v>53</v>
      </c>
      <c r="K9" s="11" t="s">
        <v>66</v>
      </c>
      <c r="L9" s="10" t="s">
        <v>47</v>
      </c>
    </row>
    <row r="10" customFormat="false" ht="15" hidden="false" customHeight="true" outlineLevel="0" collapsed="false">
      <c r="A10" s="7" t="s">
        <v>81</v>
      </c>
      <c r="B10" s="8" t="s">
        <v>82</v>
      </c>
      <c r="C10" s="8" t="s">
        <v>73</v>
      </c>
      <c r="D10" s="7" t="s">
        <v>34</v>
      </c>
      <c r="E10" s="8" t="s">
        <v>50</v>
      </c>
      <c r="F10" s="9" t="n">
        <v>1863.3</v>
      </c>
      <c r="G10" s="7" t="s">
        <v>63</v>
      </c>
      <c r="H10" s="7" t="n">
        <v>2000</v>
      </c>
      <c r="I10" s="8" t="s">
        <v>64</v>
      </c>
      <c r="J10" s="8" t="s">
        <v>38</v>
      </c>
      <c r="K10" s="8" t="s">
        <v>83</v>
      </c>
      <c r="L10" s="7" t="s">
        <v>40</v>
      </c>
    </row>
    <row r="11" customFormat="false" ht="15" hidden="false" customHeight="true" outlineLevel="0" collapsed="false">
      <c r="A11" s="10" t="s">
        <v>84</v>
      </c>
      <c r="B11" s="11" t="s">
        <v>85</v>
      </c>
      <c r="C11" s="11" t="s">
        <v>86</v>
      </c>
      <c r="D11" s="10" t="s">
        <v>34</v>
      </c>
      <c r="E11" s="11" t="s">
        <v>87</v>
      </c>
      <c r="F11" s="12" t="n">
        <v>2007.7</v>
      </c>
      <c r="G11" s="10" t="s">
        <v>51</v>
      </c>
      <c r="H11" s="10" t="n">
        <v>2003</v>
      </c>
      <c r="I11" s="11" t="s">
        <v>80</v>
      </c>
      <c r="J11" s="11" t="s">
        <v>65</v>
      </c>
      <c r="K11" s="11" t="s">
        <v>88</v>
      </c>
      <c r="L11" s="10" t="s">
        <v>40</v>
      </c>
    </row>
    <row r="12" customFormat="false" ht="15" hidden="false" customHeight="true" outlineLevel="0" collapsed="false">
      <c r="A12" s="7" t="s">
        <v>89</v>
      </c>
      <c r="B12" s="8" t="s">
        <v>90</v>
      </c>
      <c r="C12" s="8" t="s">
        <v>86</v>
      </c>
      <c r="D12" s="7" t="s">
        <v>34</v>
      </c>
      <c r="E12" s="8" t="s">
        <v>91</v>
      </c>
      <c r="F12" s="9" t="n">
        <v>1651.6</v>
      </c>
      <c r="G12" s="7" t="s">
        <v>63</v>
      </c>
      <c r="H12" s="7" t="n">
        <v>2000</v>
      </c>
      <c r="I12" s="8" t="s">
        <v>70</v>
      </c>
      <c r="J12" s="8" t="s">
        <v>92</v>
      </c>
      <c r="K12" s="8" t="s">
        <v>93</v>
      </c>
      <c r="L12" s="7" t="s">
        <v>40</v>
      </c>
    </row>
    <row r="13" customFormat="false" ht="15" hidden="false" customHeight="true" outlineLevel="0" collapsed="false">
      <c r="A13" s="10" t="s">
        <v>94</v>
      </c>
      <c r="B13" s="11" t="s">
        <v>95</v>
      </c>
      <c r="C13" s="11" t="s">
        <v>86</v>
      </c>
      <c r="D13" s="10" t="s">
        <v>34</v>
      </c>
      <c r="E13" s="11" t="s">
        <v>96</v>
      </c>
      <c r="F13" s="12" t="n">
        <v>932.4</v>
      </c>
      <c r="G13" s="10" t="s">
        <v>36</v>
      </c>
      <c r="H13" s="10" t="n">
        <v>2018</v>
      </c>
      <c r="I13" s="11" t="s">
        <v>97</v>
      </c>
      <c r="J13" s="11" t="s">
        <v>53</v>
      </c>
      <c r="K13" s="11" t="s">
        <v>39</v>
      </c>
      <c r="L13" s="10" t="s">
        <v>40</v>
      </c>
    </row>
    <row r="14" customFormat="false" ht="15" hidden="false" customHeight="true" outlineLevel="0" collapsed="false">
      <c r="A14" s="7" t="s">
        <v>98</v>
      </c>
      <c r="B14" s="8" t="s">
        <v>99</v>
      </c>
      <c r="C14" s="8" t="s">
        <v>100</v>
      </c>
      <c r="D14" s="7" t="s">
        <v>34</v>
      </c>
      <c r="E14" s="8" t="s">
        <v>101</v>
      </c>
      <c r="F14" s="9" t="n">
        <v>1870.2</v>
      </c>
      <c r="G14" s="7" t="s">
        <v>63</v>
      </c>
      <c r="H14" s="7" t="n">
        <v>2005</v>
      </c>
      <c r="I14" s="8" t="s">
        <v>102</v>
      </c>
      <c r="J14" s="8" t="s">
        <v>65</v>
      </c>
      <c r="K14" s="8" t="s">
        <v>83</v>
      </c>
      <c r="L14" s="7" t="s">
        <v>40</v>
      </c>
    </row>
    <row r="15" customFormat="false" ht="15" hidden="false" customHeight="true" outlineLevel="0" collapsed="false">
      <c r="A15" s="10" t="s">
        <v>103</v>
      </c>
      <c r="B15" s="11" t="s">
        <v>104</v>
      </c>
      <c r="C15" s="11" t="s">
        <v>100</v>
      </c>
      <c r="D15" s="10" t="s">
        <v>34</v>
      </c>
      <c r="E15" s="11" t="s">
        <v>96</v>
      </c>
      <c r="F15" s="12" t="n">
        <v>2194.6</v>
      </c>
      <c r="G15" s="10" t="s">
        <v>36</v>
      </c>
      <c r="H15" s="10" t="n">
        <v>2016</v>
      </c>
      <c r="I15" s="11" t="s">
        <v>97</v>
      </c>
      <c r="J15" s="11" t="s">
        <v>65</v>
      </c>
      <c r="K15" s="11" t="s">
        <v>88</v>
      </c>
      <c r="L15" s="10" t="s">
        <v>40</v>
      </c>
    </row>
    <row r="16" customFormat="false" ht="15" hidden="false" customHeight="true" outlineLevel="0" collapsed="false">
      <c r="A16" s="7" t="s">
        <v>105</v>
      </c>
      <c r="B16" s="8" t="s">
        <v>106</v>
      </c>
      <c r="C16" s="8" t="s">
        <v>107</v>
      </c>
      <c r="D16" s="7" t="s">
        <v>34</v>
      </c>
      <c r="E16" s="8" t="s">
        <v>108</v>
      </c>
      <c r="F16" s="9" t="n">
        <v>2197.9</v>
      </c>
      <c r="G16" s="7" t="s">
        <v>51</v>
      </c>
      <c r="H16" s="7" t="n">
        <v>2012</v>
      </c>
      <c r="I16" s="8" t="s">
        <v>37</v>
      </c>
      <c r="J16" s="8" t="s">
        <v>58</v>
      </c>
      <c r="K16" s="8" t="s">
        <v>109</v>
      </c>
      <c r="L16" s="7" t="s">
        <v>76</v>
      </c>
    </row>
    <row r="17" customFormat="false" ht="15" hidden="false" customHeight="true" outlineLevel="0" collapsed="false">
      <c r="A17" s="10" t="s">
        <v>110</v>
      </c>
      <c r="B17" s="11" t="s">
        <v>111</v>
      </c>
      <c r="C17" s="11" t="s">
        <v>107</v>
      </c>
      <c r="D17" s="10" t="s">
        <v>34</v>
      </c>
      <c r="E17" s="11" t="s">
        <v>112</v>
      </c>
      <c r="F17" s="12" t="n">
        <v>1309.7</v>
      </c>
      <c r="G17" s="10" t="s">
        <v>63</v>
      </c>
      <c r="H17" s="10" t="n">
        <v>2021</v>
      </c>
      <c r="I17" s="11" t="s">
        <v>70</v>
      </c>
      <c r="J17" s="11" t="s">
        <v>113</v>
      </c>
      <c r="K17" s="11" t="s">
        <v>114</v>
      </c>
      <c r="L17" s="10" t="s">
        <v>40</v>
      </c>
    </row>
    <row r="18" customFormat="false" ht="15" hidden="false" customHeight="true" outlineLevel="0" collapsed="false">
      <c r="A18" s="7" t="s">
        <v>115</v>
      </c>
      <c r="B18" s="8" t="s">
        <v>116</v>
      </c>
      <c r="C18" s="8" t="s">
        <v>117</v>
      </c>
      <c r="D18" s="7" t="s">
        <v>34</v>
      </c>
      <c r="E18" s="8" t="s">
        <v>118</v>
      </c>
      <c r="F18" s="9" t="n">
        <v>2393.7</v>
      </c>
      <c r="G18" s="7" t="s">
        <v>51</v>
      </c>
      <c r="H18" s="7" t="n">
        <v>2002</v>
      </c>
      <c r="I18" s="8" t="s">
        <v>52</v>
      </c>
      <c r="J18" s="8" t="s">
        <v>119</v>
      </c>
      <c r="K18" s="8" t="s">
        <v>66</v>
      </c>
      <c r="L18" s="7" t="s">
        <v>76</v>
      </c>
    </row>
    <row r="19" customFormat="false" ht="15" hidden="false" customHeight="true" outlineLevel="0" collapsed="false">
      <c r="A19" s="10" t="s">
        <v>120</v>
      </c>
      <c r="B19" s="11" t="s">
        <v>121</v>
      </c>
      <c r="C19" s="11" t="s">
        <v>117</v>
      </c>
      <c r="D19" s="10" t="s">
        <v>34</v>
      </c>
      <c r="E19" s="11" t="s">
        <v>122</v>
      </c>
      <c r="F19" s="12" t="n">
        <v>396.5</v>
      </c>
      <c r="G19" s="10" t="s">
        <v>63</v>
      </c>
      <c r="H19" s="10" t="n">
        <v>2003</v>
      </c>
      <c r="I19" s="11" t="s">
        <v>123</v>
      </c>
      <c r="J19" s="11" t="s">
        <v>113</v>
      </c>
      <c r="K19" s="11" t="s">
        <v>114</v>
      </c>
      <c r="L19" s="10" t="s">
        <v>40</v>
      </c>
    </row>
    <row r="20" customFormat="false" ht="15" hidden="false" customHeight="true" outlineLevel="0" collapsed="false">
      <c r="A20" s="7" t="s">
        <v>124</v>
      </c>
      <c r="B20" s="8" t="s">
        <v>125</v>
      </c>
      <c r="C20" s="8" t="s">
        <v>33</v>
      </c>
      <c r="D20" s="7" t="s">
        <v>34</v>
      </c>
      <c r="E20" s="8" t="s">
        <v>126</v>
      </c>
      <c r="F20" s="9" t="n">
        <v>1444.3</v>
      </c>
      <c r="G20" s="7" t="s">
        <v>51</v>
      </c>
      <c r="H20" s="7" t="n">
        <v>2012</v>
      </c>
      <c r="I20" s="8" t="s">
        <v>52</v>
      </c>
      <c r="J20" s="8" t="s">
        <v>58</v>
      </c>
      <c r="K20" s="8" t="s">
        <v>93</v>
      </c>
      <c r="L20" s="7" t="s">
        <v>40</v>
      </c>
    </row>
    <row r="21" customFormat="false" ht="15" hidden="false" customHeight="true" outlineLevel="0" collapsed="false">
      <c r="A21" s="10" t="s">
        <v>127</v>
      </c>
      <c r="B21" s="11" t="s">
        <v>128</v>
      </c>
      <c r="C21" s="11" t="s">
        <v>61</v>
      </c>
      <c r="D21" s="10" t="s">
        <v>129</v>
      </c>
      <c r="E21" s="11" t="s">
        <v>130</v>
      </c>
      <c r="F21" s="12" t="n">
        <v>305.9</v>
      </c>
      <c r="G21" s="10" t="s">
        <v>63</v>
      </c>
      <c r="H21" s="10" t="n">
        <v>2015</v>
      </c>
      <c r="I21" s="11" t="s">
        <v>131</v>
      </c>
      <c r="J21" s="11" t="s">
        <v>65</v>
      </c>
      <c r="K21" s="11" t="s">
        <v>66</v>
      </c>
      <c r="L21" s="10" t="s">
        <v>40</v>
      </c>
    </row>
    <row r="22" customFormat="false" ht="15" hidden="false" customHeight="true" outlineLevel="0" collapsed="false">
      <c r="A22" s="7" t="s">
        <v>132</v>
      </c>
      <c r="B22" s="8" t="s">
        <v>133</v>
      </c>
      <c r="C22" s="8" t="s">
        <v>134</v>
      </c>
      <c r="D22" s="7" t="s">
        <v>129</v>
      </c>
      <c r="E22" s="8" t="s">
        <v>135</v>
      </c>
      <c r="F22" s="9" t="n">
        <v>1108.1</v>
      </c>
      <c r="G22" s="7" t="s">
        <v>51</v>
      </c>
      <c r="H22" s="7" t="n">
        <v>2021</v>
      </c>
      <c r="I22" s="8" t="s">
        <v>97</v>
      </c>
      <c r="J22" s="8" t="s">
        <v>58</v>
      </c>
      <c r="K22" s="8" t="s">
        <v>93</v>
      </c>
      <c r="L22" s="7" t="s">
        <v>40</v>
      </c>
    </row>
    <row r="23" customFormat="false" ht="15" hidden="false" customHeight="true" outlineLevel="0" collapsed="false">
      <c r="A23" s="10" t="s">
        <v>136</v>
      </c>
      <c r="B23" s="11" t="s">
        <v>137</v>
      </c>
      <c r="C23" s="11" t="s">
        <v>33</v>
      </c>
      <c r="D23" s="10" t="s">
        <v>129</v>
      </c>
      <c r="E23" s="11" t="s">
        <v>138</v>
      </c>
      <c r="F23" s="12" t="n">
        <v>286.7</v>
      </c>
      <c r="G23" s="10" t="s">
        <v>51</v>
      </c>
      <c r="H23" s="10" t="n">
        <v>2018</v>
      </c>
      <c r="I23" s="11" t="s">
        <v>131</v>
      </c>
      <c r="J23" s="11" t="s">
        <v>53</v>
      </c>
      <c r="K23" s="11" t="s">
        <v>109</v>
      </c>
      <c r="L23" s="10" t="s">
        <v>40</v>
      </c>
    </row>
    <row r="24" customFormat="false" ht="15" hidden="false" customHeight="true" outlineLevel="0" collapsed="false">
      <c r="A24" s="7" t="s">
        <v>139</v>
      </c>
      <c r="B24" s="8" t="s">
        <v>140</v>
      </c>
      <c r="C24" s="8" t="s">
        <v>134</v>
      </c>
      <c r="D24" s="7" t="s">
        <v>141</v>
      </c>
      <c r="E24" s="8" t="s">
        <v>142</v>
      </c>
      <c r="F24" s="9" t="n">
        <v>1310.6</v>
      </c>
      <c r="G24" s="7" t="s">
        <v>63</v>
      </c>
      <c r="H24" s="7" t="n">
        <v>2022</v>
      </c>
      <c r="I24" s="8" t="s">
        <v>52</v>
      </c>
      <c r="J24" s="8" t="s">
        <v>45</v>
      </c>
      <c r="K24" s="8" t="s">
        <v>114</v>
      </c>
      <c r="L24" s="7" t="s">
        <v>40</v>
      </c>
    </row>
    <row r="25" customFormat="false" ht="15" hidden="false" customHeight="true" outlineLevel="0" collapsed="false">
      <c r="A25" s="10" t="s">
        <v>143</v>
      </c>
      <c r="B25" s="11" t="s">
        <v>144</v>
      </c>
      <c r="C25" s="11" t="s">
        <v>145</v>
      </c>
      <c r="D25" s="10" t="s">
        <v>34</v>
      </c>
      <c r="E25" s="11" t="s">
        <v>146</v>
      </c>
      <c r="F25" s="12" t="n">
        <v>299.6</v>
      </c>
      <c r="G25" s="10" t="s">
        <v>51</v>
      </c>
      <c r="H25" s="10" t="n">
        <v>2009</v>
      </c>
      <c r="I25" s="11" t="s">
        <v>131</v>
      </c>
      <c r="J25" s="11" t="s">
        <v>53</v>
      </c>
      <c r="K25" s="11" t="s">
        <v>46</v>
      </c>
      <c r="L25" s="10" t="s">
        <v>40</v>
      </c>
    </row>
    <row r="26" customFormat="false" ht="15" hidden="false" customHeight="true" outlineLevel="0" collapsed="false">
      <c r="A26" s="7" t="s">
        <v>147</v>
      </c>
      <c r="B26" s="8" t="s">
        <v>148</v>
      </c>
      <c r="C26" s="8" t="s">
        <v>145</v>
      </c>
      <c r="D26" s="7" t="s">
        <v>34</v>
      </c>
      <c r="E26" s="8" t="s">
        <v>91</v>
      </c>
      <c r="F26" s="9" t="n">
        <v>2274.5</v>
      </c>
      <c r="G26" s="7" t="s">
        <v>63</v>
      </c>
      <c r="H26" s="7" t="n">
        <v>2000</v>
      </c>
      <c r="I26" s="8" t="s">
        <v>97</v>
      </c>
      <c r="J26" s="8" t="s">
        <v>119</v>
      </c>
      <c r="K26" s="8" t="s">
        <v>66</v>
      </c>
      <c r="L26" s="7" t="s">
        <v>40</v>
      </c>
    </row>
    <row r="27" customFormat="false" ht="15" hidden="false" customHeight="true" outlineLevel="0" collapsed="false">
      <c r="E27" s="13" t="s">
        <v>149</v>
      </c>
      <c r="F27" s="14" t="n">
        <f aca="false">SUM(F2:F26)</f>
        <v>29823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0"/>
    <col collapsed="false" customWidth="true" hidden="false" outlineLevel="0" max="10" min="10" style="1" width="15"/>
  </cols>
  <sheetData>
    <row r="1" customFormat="false" ht="26.25" hidden="false" customHeight="true" outlineLevel="0" collapsed="false">
      <c r="A1" s="6" t="s">
        <v>150</v>
      </c>
      <c r="B1" s="6" t="s">
        <v>19</v>
      </c>
      <c r="C1" s="6" t="s">
        <v>20</v>
      </c>
      <c r="D1" s="6" t="s">
        <v>151</v>
      </c>
      <c r="E1" s="6" t="s">
        <v>152</v>
      </c>
      <c r="F1" s="6" t="s">
        <v>153</v>
      </c>
      <c r="G1" s="6" t="s">
        <v>154</v>
      </c>
      <c r="H1" s="6" t="s">
        <v>155</v>
      </c>
      <c r="I1" s="6" t="s">
        <v>156</v>
      </c>
      <c r="J1" s="6" t="s">
        <v>157</v>
      </c>
    </row>
    <row r="2" customFormat="false" ht="15" hidden="false" customHeight="true" outlineLevel="0" collapsed="false">
      <c r="A2" s="7" t="s">
        <v>158</v>
      </c>
      <c r="B2" s="7" t="s">
        <v>31</v>
      </c>
      <c r="C2" s="8" t="s">
        <v>32</v>
      </c>
      <c r="D2" s="8" t="s">
        <v>159</v>
      </c>
      <c r="E2" s="8" t="s">
        <v>160</v>
      </c>
      <c r="F2" s="8" t="s">
        <v>161</v>
      </c>
      <c r="G2" s="7" t="s">
        <v>162</v>
      </c>
      <c r="H2" s="8" t="s">
        <v>163</v>
      </c>
      <c r="I2" s="8" t="s">
        <v>164</v>
      </c>
      <c r="J2" s="7" t="s">
        <v>165</v>
      </c>
    </row>
    <row r="3" customFormat="false" ht="15" hidden="false" customHeight="true" outlineLevel="0" collapsed="false">
      <c r="A3" s="10" t="s">
        <v>166</v>
      </c>
      <c r="B3" s="10" t="s">
        <v>31</v>
      </c>
      <c r="C3" s="11" t="s">
        <v>32</v>
      </c>
      <c r="D3" s="11" t="s">
        <v>167</v>
      </c>
      <c r="E3" s="11" t="s">
        <v>168</v>
      </c>
      <c r="F3" s="11" t="s">
        <v>169</v>
      </c>
      <c r="G3" s="10" t="s">
        <v>170</v>
      </c>
      <c r="H3" s="11" t="s">
        <v>171</v>
      </c>
      <c r="I3" s="11" t="s">
        <v>172</v>
      </c>
      <c r="J3" s="10" t="s">
        <v>173</v>
      </c>
    </row>
    <row r="4" customFormat="false" ht="15" hidden="false" customHeight="true" outlineLevel="0" collapsed="false">
      <c r="A4" s="7" t="s">
        <v>174</v>
      </c>
      <c r="B4" s="7" t="s">
        <v>31</v>
      </c>
      <c r="C4" s="8" t="s">
        <v>32</v>
      </c>
      <c r="D4" s="8" t="s">
        <v>175</v>
      </c>
      <c r="E4" s="8" t="s">
        <v>176</v>
      </c>
      <c r="F4" s="8" t="s">
        <v>161</v>
      </c>
      <c r="G4" s="7" t="s">
        <v>162</v>
      </c>
      <c r="H4" s="8" t="s">
        <v>177</v>
      </c>
      <c r="I4" s="8" t="s">
        <v>178</v>
      </c>
      <c r="J4" s="7" t="s">
        <v>179</v>
      </c>
    </row>
    <row r="5" customFormat="false" ht="15" hidden="false" customHeight="true" outlineLevel="0" collapsed="false">
      <c r="A5" s="10" t="s">
        <v>180</v>
      </c>
      <c r="B5" s="10" t="s">
        <v>41</v>
      </c>
      <c r="C5" s="11" t="s">
        <v>42</v>
      </c>
      <c r="D5" s="11" t="s">
        <v>181</v>
      </c>
      <c r="E5" s="11" t="s">
        <v>182</v>
      </c>
      <c r="F5" s="11" t="s">
        <v>183</v>
      </c>
      <c r="G5" s="10" t="s">
        <v>184</v>
      </c>
      <c r="H5" s="11" t="s">
        <v>185</v>
      </c>
      <c r="I5" s="11" t="s">
        <v>186</v>
      </c>
      <c r="J5" s="10" t="s">
        <v>187</v>
      </c>
    </row>
    <row r="6" customFormat="false" ht="15" hidden="false" customHeight="true" outlineLevel="0" collapsed="false">
      <c r="A6" s="7" t="s">
        <v>188</v>
      </c>
      <c r="B6" s="7" t="s">
        <v>41</v>
      </c>
      <c r="C6" s="8" t="s">
        <v>42</v>
      </c>
      <c r="D6" s="8" t="s">
        <v>189</v>
      </c>
      <c r="E6" s="8" t="s">
        <v>182</v>
      </c>
      <c r="F6" s="8" t="s">
        <v>190</v>
      </c>
      <c r="G6" s="7" t="s">
        <v>170</v>
      </c>
      <c r="H6" s="8" t="s">
        <v>191</v>
      </c>
      <c r="I6" s="8" t="s">
        <v>192</v>
      </c>
      <c r="J6" s="7" t="s">
        <v>193</v>
      </c>
    </row>
    <row r="7" customFormat="false" ht="15" hidden="false" customHeight="true" outlineLevel="0" collapsed="false">
      <c r="A7" s="10" t="s">
        <v>194</v>
      </c>
      <c r="B7" s="10" t="s">
        <v>41</v>
      </c>
      <c r="C7" s="11" t="s">
        <v>42</v>
      </c>
      <c r="D7" s="11" t="s">
        <v>195</v>
      </c>
      <c r="E7" s="11" t="s">
        <v>196</v>
      </c>
      <c r="F7" s="11" t="s">
        <v>197</v>
      </c>
      <c r="G7" s="10" t="s">
        <v>170</v>
      </c>
      <c r="H7" s="11" t="s">
        <v>198</v>
      </c>
      <c r="I7" s="11" t="s">
        <v>199</v>
      </c>
      <c r="J7" s="10" t="s">
        <v>200</v>
      </c>
    </row>
    <row r="8" customFormat="false" ht="15" hidden="false" customHeight="true" outlineLevel="0" collapsed="false">
      <c r="A8" s="7" t="s">
        <v>201</v>
      </c>
      <c r="B8" s="7" t="s">
        <v>48</v>
      </c>
      <c r="C8" s="8" t="s">
        <v>49</v>
      </c>
      <c r="D8" s="8" t="s">
        <v>202</v>
      </c>
      <c r="E8" s="8" t="s">
        <v>203</v>
      </c>
      <c r="F8" s="8" t="s">
        <v>190</v>
      </c>
      <c r="G8" s="7" t="s">
        <v>170</v>
      </c>
      <c r="H8" s="8" t="s">
        <v>204</v>
      </c>
      <c r="I8" s="8" t="s">
        <v>205</v>
      </c>
      <c r="J8" s="7" t="s">
        <v>206</v>
      </c>
    </row>
    <row r="9" customFormat="false" ht="15" hidden="false" customHeight="true" outlineLevel="0" collapsed="false">
      <c r="A9" s="10" t="s">
        <v>207</v>
      </c>
      <c r="B9" s="10" t="s">
        <v>54</v>
      </c>
      <c r="C9" s="11" t="s">
        <v>55</v>
      </c>
      <c r="D9" s="11" t="s">
        <v>208</v>
      </c>
      <c r="E9" s="11" t="s">
        <v>209</v>
      </c>
      <c r="F9" s="11" t="s">
        <v>190</v>
      </c>
      <c r="G9" s="10" t="s">
        <v>170</v>
      </c>
      <c r="H9" s="11" t="s">
        <v>210</v>
      </c>
      <c r="I9" s="11" t="s">
        <v>211</v>
      </c>
      <c r="J9" s="10" t="s">
        <v>212</v>
      </c>
    </row>
    <row r="10" customFormat="false" ht="15" hidden="false" customHeight="true" outlineLevel="0" collapsed="false">
      <c r="A10" s="7" t="s">
        <v>213</v>
      </c>
      <c r="B10" s="7" t="s">
        <v>59</v>
      </c>
      <c r="C10" s="8" t="s">
        <v>60</v>
      </c>
      <c r="D10" s="8" t="s">
        <v>181</v>
      </c>
      <c r="E10" s="8" t="s">
        <v>214</v>
      </c>
      <c r="F10" s="8" t="s">
        <v>215</v>
      </c>
      <c r="G10" s="7" t="s">
        <v>162</v>
      </c>
      <c r="H10" s="8" t="s">
        <v>216</v>
      </c>
      <c r="I10" s="8" t="s">
        <v>217</v>
      </c>
      <c r="J10" s="7" t="s">
        <v>218</v>
      </c>
    </row>
    <row r="11" customFormat="false" ht="15" hidden="false" customHeight="true" outlineLevel="0" collapsed="false">
      <c r="A11" s="10" t="s">
        <v>219</v>
      </c>
      <c r="B11" s="10" t="s">
        <v>59</v>
      </c>
      <c r="C11" s="11" t="s">
        <v>60</v>
      </c>
      <c r="D11" s="11" t="s">
        <v>220</v>
      </c>
      <c r="E11" s="11" t="s">
        <v>221</v>
      </c>
      <c r="F11" s="11" t="s">
        <v>222</v>
      </c>
      <c r="G11" s="10" t="s">
        <v>184</v>
      </c>
      <c r="H11" s="11" t="s">
        <v>223</v>
      </c>
      <c r="I11" s="11" t="s">
        <v>224</v>
      </c>
      <c r="J11" s="10" t="s">
        <v>225</v>
      </c>
    </row>
    <row r="12" customFormat="false" ht="15" hidden="false" customHeight="true" outlineLevel="0" collapsed="false">
      <c r="A12" s="7" t="s">
        <v>226</v>
      </c>
      <c r="B12" s="7" t="s">
        <v>67</v>
      </c>
      <c r="C12" s="8" t="s">
        <v>68</v>
      </c>
      <c r="D12" s="8" t="s">
        <v>227</v>
      </c>
      <c r="E12" s="8" t="s">
        <v>214</v>
      </c>
      <c r="F12" s="8" t="s">
        <v>197</v>
      </c>
      <c r="G12" s="7" t="s">
        <v>170</v>
      </c>
      <c r="H12" s="8" t="s">
        <v>228</v>
      </c>
      <c r="I12" s="8" t="s">
        <v>229</v>
      </c>
      <c r="J12" s="7" t="s">
        <v>230</v>
      </c>
    </row>
    <row r="13" customFormat="false" ht="15" hidden="false" customHeight="true" outlineLevel="0" collapsed="false">
      <c r="A13" s="10" t="s">
        <v>231</v>
      </c>
      <c r="B13" s="10" t="s">
        <v>67</v>
      </c>
      <c r="C13" s="11" t="s">
        <v>68</v>
      </c>
      <c r="D13" s="11" t="s">
        <v>159</v>
      </c>
      <c r="E13" s="11" t="s">
        <v>232</v>
      </c>
      <c r="F13" s="11" t="s">
        <v>183</v>
      </c>
      <c r="G13" s="10" t="s">
        <v>184</v>
      </c>
      <c r="H13" s="11" t="s">
        <v>233</v>
      </c>
      <c r="I13" s="11" t="s">
        <v>234</v>
      </c>
      <c r="J13" s="10" t="s">
        <v>235</v>
      </c>
    </row>
    <row r="14" customFormat="false" ht="15" hidden="false" customHeight="true" outlineLevel="0" collapsed="false">
      <c r="A14" s="7" t="s">
        <v>236</v>
      </c>
      <c r="B14" s="7" t="s">
        <v>71</v>
      </c>
      <c r="C14" s="8" t="s">
        <v>72</v>
      </c>
      <c r="D14" s="8" t="s">
        <v>237</v>
      </c>
      <c r="E14" s="8" t="s">
        <v>238</v>
      </c>
      <c r="F14" s="8" t="s">
        <v>222</v>
      </c>
      <c r="G14" s="7" t="s">
        <v>184</v>
      </c>
      <c r="H14" s="8" t="s">
        <v>239</v>
      </c>
      <c r="I14" s="8" t="s">
        <v>240</v>
      </c>
      <c r="J14" s="7" t="s">
        <v>241</v>
      </c>
    </row>
    <row r="15" customFormat="false" ht="15" hidden="false" customHeight="true" outlineLevel="0" collapsed="false">
      <c r="A15" s="10" t="s">
        <v>242</v>
      </c>
      <c r="B15" s="10" t="s">
        <v>77</v>
      </c>
      <c r="C15" s="11" t="s">
        <v>78</v>
      </c>
      <c r="D15" s="11" t="s">
        <v>243</v>
      </c>
      <c r="E15" s="11" t="s">
        <v>232</v>
      </c>
      <c r="F15" s="11" t="s">
        <v>161</v>
      </c>
      <c r="G15" s="10" t="s">
        <v>162</v>
      </c>
      <c r="H15" s="11" t="s">
        <v>244</v>
      </c>
      <c r="I15" s="11" t="s">
        <v>245</v>
      </c>
      <c r="J15" s="10" t="s">
        <v>246</v>
      </c>
    </row>
    <row r="16" customFormat="false" ht="15" hidden="false" customHeight="true" outlineLevel="0" collapsed="false">
      <c r="A16" s="7" t="s">
        <v>247</v>
      </c>
      <c r="B16" s="7" t="s">
        <v>81</v>
      </c>
      <c r="C16" s="8" t="s">
        <v>82</v>
      </c>
      <c r="D16" s="8" t="s">
        <v>248</v>
      </c>
      <c r="E16" s="8" t="s">
        <v>249</v>
      </c>
      <c r="F16" s="8" t="s">
        <v>161</v>
      </c>
      <c r="G16" s="7" t="s">
        <v>162</v>
      </c>
      <c r="H16" s="8" t="s">
        <v>250</v>
      </c>
      <c r="I16" s="8" t="s">
        <v>251</v>
      </c>
      <c r="J16" s="7" t="s">
        <v>252</v>
      </c>
    </row>
    <row r="17" customFormat="false" ht="15" hidden="false" customHeight="true" outlineLevel="0" collapsed="false">
      <c r="A17" s="10" t="s">
        <v>253</v>
      </c>
      <c r="B17" s="10" t="s">
        <v>84</v>
      </c>
      <c r="C17" s="11" t="s">
        <v>85</v>
      </c>
      <c r="D17" s="11" t="s">
        <v>254</v>
      </c>
      <c r="E17" s="11" t="s">
        <v>238</v>
      </c>
      <c r="F17" s="11" t="s">
        <v>190</v>
      </c>
      <c r="G17" s="10" t="s">
        <v>170</v>
      </c>
      <c r="H17" s="11" t="s">
        <v>255</v>
      </c>
      <c r="I17" s="11" t="s">
        <v>256</v>
      </c>
      <c r="J17" s="10" t="s">
        <v>257</v>
      </c>
    </row>
    <row r="18" customFormat="false" ht="15" hidden="false" customHeight="true" outlineLevel="0" collapsed="false">
      <c r="A18" s="7" t="s">
        <v>258</v>
      </c>
      <c r="B18" s="7" t="s">
        <v>84</v>
      </c>
      <c r="C18" s="8" t="s">
        <v>85</v>
      </c>
      <c r="D18" s="8" t="s">
        <v>259</v>
      </c>
      <c r="E18" s="8" t="s">
        <v>260</v>
      </c>
      <c r="F18" s="8" t="s">
        <v>261</v>
      </c>
      <c r="G18" s="7" t="s">
        <v>162</v>
      </c>
      <c r="H18" s="8" t="s">
        <v>262</v>
      </c>
      <c r="I18" s="8" t="s">
        <v>263</v>
      </c>
      <c r="J18" s="7" t="s">
        <v>225</v>
      </c>
    </row>
    <row r="19" customFormat="false" ht="15" hidden="false" customHeight="true" outlineLevel="0" collapsed="false">
      <c r="A19" s="10" t="s">
        <v>264</v>
      </c>
      <c r="B19" s="10" t="s">
        <v>89</v>
      </c>
      <c r="C19" s="11" t="s">
        <v>90</v>
      </c>
      <c r="D19" s="11" t="s">
        <v>265</v>
      </c>
      <c r="E19" s="11" t="s">
        <v>196</v>
      </c>
      <c r="F19" s="11" t="s">
        <v>266</v>
      </c>
      <c r="G19" s="10" t="s">
        <v>184</v>
      </c>
      <c r="H19" s="11" t="s">
        <v>267</v>
      </c>
      <c r="I19" s="11" t="s">
        <v>268</v>
      </c>
      <c r="J19" s="10" t="s">
        <v>269</v>
      </c>
    </row>
    <row r="20" customFormat="false" ht="15" hidden="false" customHeight="true" outlineLevel="0" collapsed="false">
      <c r="A20" s="7" t="s">
        <v>270</v>
      </c>
      <c r="B20" s="7" t="s">
        <v>89</v>
      </c>
      <c r="C20" s="8" t="s">
        <v>90</v>
      </c>
      <c r="D20" s="8" t="s">
        <v>265</v>
      </c>
      <c r="E20" s="8" t="s">
        <v>271</v>
      </c>
      <c r="F20" s="8" t="s">
        <v>261</v>
      </c>
      <c r="G20" s="7" t="s">
        <v>162</v>
      </c>
      <c r="H20" s="8" t="s">
        <v>272</v>
      </c>
      <c r="I20" s="8" t="s">
        <v>273</v>
      </c>
      <c r="J20" s="7" t="s">
        <v>274</v>
      </c>
    </row>
    <row r="21" customFormat="false" ht="15" hidden="false" customHeight="true" outlineLevel="0" collapsed="false">
      <c r="A21" s="10" t="s">
        <v>275</v>
      </c>
      <c r="B21" s="10" t="s">
        <v>89</v>
      </c>
      <c r="C21" s="11" t="s">
        <v>90</v>
      </c>
      <c r="D21" s="11" t="s">
        <v>276</v>
      </c>
      <c r="E21" s="11" t="s">
        <v>182</v>
      </c>
      <c r="F21" s="11" t="s">
        <v>161</v>
      </c>
      <c r="G21" s="10" t="s">
        <v>162</v>
      </c>
      <c r="H21" s="11" t="s">
        <v>277</v>
      </c>
      <c r="I21" s="11" t="s">
        <v>278</v>
      </c>
      <c r="J21" s="10" t="s">
        <v>279</v>
      </c>
    </row>
    <row r="22" customFormat="false" ht="15" hidden="false" customHeight="true" outlineLevel="0" collapsed="false">
      <c r="A22" s="7" t="s">
        <v>280</v>
      </c>
      <c r="B22" s="7" t="s">
        <v>94</v>
      </c>
      <c r="C22" s="8" t="s">
        <v>95</v>
      </c>
      <c r="D22" s="8" t="s">
        <v>281</v>
      </c>
      <c r="E22" s="8" t="s">
        <v>282</v>
      </c>
      <c r="F22" s="8" t="s">
        <v>161</v>
      </c>
      <c r="G22" s="7" t="s">
        <v>162</v>
      </c>
      <c r="H22" s="8" t="s">
        <v>283</v>
      </c>
      <c r="I22" s="8" t="s">
        <v>284</v>
      </c>
      <c r="J22" s="7" t="s">
        <v>285</v>
      </c>
    </row>
    <row r="23" customFormat="false" ht="15" hidden="false" customHeight="true" outlineLevel="0" collapsed="false">
      <c r="A23" s="10" t="s">
        <v>286</v>
      </c>
      <c r="B23" s="10" t="s">
        <v>94</v>
      </c>
      <c r="C23" s="11" t="s">
        <v>95</v>
      </c>
      <c r="D23" s="11" t="s">
        <v>287</v>
      </c>
      <c r="E23" s="11" t="s">
        <v>160</v>
      </c>
      <c r="F23" s="11" t="s">
        <v>288</v>
      </c>
      <c r="G23" s="10" t="s">
        <v>184</v>
      </c>
      <c r="H23" s="11" t="s">
        <v>289</v>
      </c>
      <c r="I23" s="11" t="s">
        <v>290</v>
      </c>
      <c r="J23" s="10" t="s">
        <v>291</v>
      </c>
    </row>
    <row r="24" customFormat="false" ht="15" hidden="false" customHeight="true" outlineLevel="0" collapsed="false">
      <c r="A24" s="7" t="s">
        <v>292</v>
      </c>
      <c r="B24" s="7" t="s">
        <v>94</v>
      </c>
      <c r="C24" s="8" t="s">
        <v>95</v>
      </c>
      <c r="D24" s="8" t="s">
        <v>276</v>
      </c>
      <c r="E24" s="8" t="s">
        <v>293</v>
      </c>
      <c r="F24" s="8" t="s">
        <v>294</v>
      </c>
      <c r="G24" s="7" t="s">
        <v>162</v>
      </c>
      <c r="H24" s="8" t="s">
        <v>295</v>
      </c>
      <c r="I24" s="8" t="s">
        <v>296</v>
      </c>
      <c r="J24" s="7" t="s">
        <v>193</v>
      </c>
    </row>
    <row r="25" customFormat="false" ht="15" hidden="false" customHeight="true" outlineLevel="0" collapsed="false">
      <c r="A25" s="10" t="s">
        <v>297</v>
      </c>
      <c r="B25" s="10" t="s">
        <v>98</v>
      </c>
      <c r="C25" s="11" t="s">
        <v>99</v>
      </c>
      <c r="D25" s="11" t="s">
        <v>281</v>
      </c>
      <c r="E25" s="11" t="s">
        <v>209</v>
      </c>
      <c r="F25" s="11" t="s">
        <v>222</v>
      </c>
      <c r="G25" s="10" t="s">
        <v>184</v>
      </c>
      <c r="H25" s="11" t="s">
        <v>298</v>
      </c>
      <c r="I25" s="11" t="s">
        <v>299</v>
      </c>
      <c r="J25" s="10" t="s">
        <v>300</v>
      </c>
    </row>
    <row r="26" customFormat="false" ht="15" hidden="false" customHeight="true" outlineLevel="0" collapsed="false">
      <c r="A26" s="7" t="s">
        <v>301</v>
      </c>
      <c r="B26" s="7" t="s">
        <v>103</v>
      </c>
      <c r="C26" s="8" t="s">
        <v>104</v>
      </c>
      <c r="D26" s="8" t="s">
        <v>159</v>
      </c>
      <c r="E26" s="8" t="s">
        <v>302</v>
      </c>
      <c r="F26" s="8" t="s">
        <v>222</v>
      </c>
      <c r="G26" s="7" t="s">
        <v>184</v>
      </c>
      <c r="H26" s="8" t="s">
        <v>303</v>
      </c>
      <c r="I26" s="8" t="s">
        <v>304</v>
      </c>
      <c r="J26" s="7" t="s">
        <v>305</v>
      </c>
    </row>
    <row r="27" customFormat="false" ht="15" hidden="false" customHeight="true" outlineLevel="0" collapsed="false">
      <c r="A27" s="10" t="s">
        <v>306</v>
      </c>
      <c r="B27" s="10" t="s">
        <v>103</v>
      </c>
      <c r="C27" s="11" t="s">
        <v>104</v>
      </c>
      <c r="D27" s="11" t="s">
        <v>220</v>
      </c>
      <c r="E27" s="11" t="s">
        <v>238</v>
      </c>
      <c r="F27" s="11" t="s">
        <v>215</v>
      </c>
      <c r="G27" s="10" t="s">
        <v>162</v>
      </c>
      <c r="H27" s="11" t="s">
        <v>307</v>
      </c>
      <c r="I27" s="11" t="s">
        <v>308</v>
      </c>
      <c r="J27" s="10" t="s">
        <v>309</v>
      </c>
    </row>
    <row r="28" customFormat="false" ht="15" hidden="false" customHeight="true" outlineLevel="0" collapsed="false">
      <c r="A28" s="7" t="s">
        <v>310</v>
      </c>
      <c r="B28" s="7" t="s">
        <v>103</v>
      </c>
      <c r="C28" s="8" t="s">
        <v>104</v>
      </c>
      <c r="D28" s="8" t="s">
        <v>311</v>
      </c>
      <c r="E28" s="8" t="s">
        <v>238</v>
      </c>
      <c r="F28" s="8" t="s">
        <v>169</v>
      </c>
      <c r="G28" s="7" t="s">
        <v>170</v>
      </c>
      <c r="H28" s="8" t="s">
        <v>312</v>
      </c>
      <c r="I28" s="8" t="s">
        <v>313</v>
      </c>
      <c r="J28" s="7" t="s">
        <v>314</v>
      </c>
    </row>
    <row r="29" customFormat="false" ht="15" hidden="false" customHeight="true" outlineLevel="0" collapsed="false">
      <c r="A29" s="10" t="s">
        <v>315</v>
      </c>
      <c r="B29" s="10" t="s">
        <v>105</v>
      </c>
      <c r="C29" s="11" t="s">
        <v>106</v>
      </c>
      <c r="D29" s="11" t="s">
        <v>316</v>
      </c>
      <c r="E29" s="11" t="s">
        <v>214</v>
      </c>
      <c r="F29" s="11" t="s">
        <v>215</v>
      </c>
      <c r="G29" s="10" t="s">
        <v>162</v>
      </c>
      <c r="H29" s="11" t="s">
        <v>317</v>
      </c>
      <c r="I29" s="11" t="s">
        <v>318</v>
      </c>
      <c r="J29" s="10" t="s">
        <v>319</v>
      </c>
    </row>
    <row r="30" customFormat="false" ht="15" hidden="false" customHeight="true" outlineLevel="0" collapsed="false">
      <c r="A30" s="7" t="s">
        <v>320</v>
      </c>
      <c r="B30" s="7" t="s">
        <v>105</v>
      </c>
      <c r="C30" s="8" t="s">
        <v>106</v>
      </c>
      <c r="D30" s="8" t="s">
        <v>281</v>
      </c>
      <c r="E30" s="8" t="s">
        <v>260</v>
      </c>
      <c r="F30" s="8" t="s">
        <v>288</v>
      </c>
      <c r="G30" s="7" t="s">
        <v>184</v>
      </c>
      <c r="H30" s="8" t="s">
        <v>321</v>
      </c>
      <c r="I30" s="8" t="s">
        <v>322</v>
      </c>
      <c r="J30" s="7" t="s">
        <v>323</v>
      </c>
    </row>
    <row r="31" customFormat="false" ht="15" hidden="false" customHeight="true" outlineLevel="0" collapsed="false">
      <c r="A31" s="10" t="s">
        <v>324</v>
      </c>
      <c r="B31" s="10" t="s">
        <v>110</v>
      </c>
      <c r="C31" s="11" t="s">
        <v>111</v>
      </c>
      <c r="D31" s="11" t="s">
        <v>316</v>
      </c>
      <c r="E31" s="11" t="s">
        <v>196</v>
      </c>
      <c r="F31" s="11" t="s">
        <v>222</v>
      </c>
      <c r="G31" s="10" t="s">
        <v>184</v>
      </c>
      <c r="H31" s="11" t="s">
        <v>325</v>
      </c>
      <c r="I31" s="11" t="s">
        <v>326</v>
      </c>
      <c r="J31" s="10" t="s">
        <v>327</v>
      </c>
    </row>
    <row r="32" customFormat="false" ht="15" hidden="false" customHeight="true" outlineLevel="0" collapsed="false">
      <c r="A32" s="7" t="s">
        <v>328</v>
      </c>
      <c r="B32" s="7" t="s">
        <v>110</v>
      </c>
      <c r="C32" s="8" t="s">
        <v>111</v>
      </c>
      <c r="D32" s="8" t="s">
        <v>329</v>
      </c>
      <c r="E32" s="8" t="s">
        <v>330</v>
      </c>
      <c r="F32" s="8" t="s">
        <v>331</v>
      </c>
      <c r="G32" s="7" t="s">
        <v>162</v>
      </c>
      <c r="H32" s="8" t="s">
        <v>332</v>
      </c>
      <c r="I32" s="8" t="s">
        <v>333</v>
      </c>
      <c r="J32" s="7" t="s">
        <v>334</v>
      </c>
    </row>
    <row r="33" customFormat="false" ht="15" hidden="false" customHeight="true" outlineLevel="0" collapsed="false">
      <c r="A33" s="10" t="s">
        <v>335</v>
      </c>
      <c r="B33" s="10" t="s">
        <v>115</v>
      </c>
      <c r="C33" s="11" t="s">
        <v>116</v>
      </c>
      <c r="D33" s="11" t="s">
        <v>189</v>
      </c>
      <c r="E33" s="11" t="s">
        <v>336</v>
      </c>
      <c r="F33" s="11" t="s">
        <v>337</v>
      </c>
      <c r="G33" s="10" t="s">
        <v>184</v>
      </c>
      <c r="H33" s="11" t="s">
        <v>338</v>
      </c>
      <c r="I33" s="11" t="s">
        <v>339</v>
      </c>
      <c r="J33" s="10" t="s">
        <v>340</v>
      </c>
    </row>
    <row r="34" customFormat="false" ht="15" hidden="false" customHeight="true" outlineLevel="0" collapsed="false">
      <c r="A34" s="7" t="s">
        <v>341</v>
      </c>
      <c r="B34" s="7" t="s">
        <v>115</v>
      </c>
      <c r="C34" s="8" t="s">
        <v>116</v>
      </c>
      <c r="D34" s="8" t="s">
        <v>316</v>
      </c>
      <c r="E34" s="8" t="s">
        <v>336</v>
      </c>
      <c r="F34" s="8" t="s">
        <v>331</v>
      </c>
      <c r="G34" s="7" t="s">
        <v>162</v>
      </c>
      <c r="H34" s="8" t="s">
        <v>342</v>
      </c>
      <c r="I34" s="8" t="s">
        <v>343</v>
      </c>
      <c r="J34" s="7" t="s">
        <v>344</v>
      </c>
    </row>
    <row r="35" customFormat="false" ht="15" hidden="false" customHeight="true" outlineLevel="0" collapsed="false">
      <c r="A35" s="10" t="s">
        <v>345</v>
      </c>
      <c r="B35" s="10" t="s">
        <v>115</v>
      </c>
      <c r="C35" s="11" t="s">
        <v>116</v>
      </c>
      <c r="D35" s="11" t="s">
        <v>189</v>
      </c>
      <c r="E35" s="11" t="s">
        <v>346</v>
      </c>
      <c r="F35" s="11" t="s">
        <v>169</v>
      </c>
      <c r="G35" s="10" t="s">
        <v>170</v>
      </c>
      <c r="H35" s="11" t="s">
        <v>347</v>
      </c>
      <c r="I35" s="11" t="s">
        <v>348</v>
      </c>
      <c r="J35" s="10" t="s">
        <v>349</v>
      </c>
    </row>
    <row r="36" customFormat="false" ht="15" hidden="false" customHeight="true" outlineLevel="0" collapsed="false">
      <c r="A36" s="7" t="s">
        <v>350</v>
      </c>
      <c r="B36" s="7" t="s">
        <v>120</v>
      </c>
      <c r="C36" s="8" t="s">
        <v>121</v>
      </c>
      <c r="D36" s="8" t="s">
        <v>316</v>
      </c>
      <c r="E36" s="8" t="s">
        <v>302</v>
      </c>
      <c r="F36" s="8" t="s">
        <v>331</v>
      </c>
      <c r="G36" s="7" t="s">
        <v>162</v>
      </c>
      <c r="H36" s="8" t="s">
        <v>351</v>
      </c>
      <c r="I36" s="8" t="s">
        <v>352</v>
      </c>
      <c r="J36" s="7" t="s">
        <v>353</v>
      </c>
    </row>
    <row r="37" customFormat="false" ht="15" hidden="false" customHeight="true" outlineLevel="0" collapsed="false">
      <c r="A37" s="10" t="s">
        <v>354</v>
      </c>
      <c r="B37" s="10" t="s">
        <v>120</v>
      </c>
      <c r="C37" s="11" t="s">
        <v>121</v>
      </c>
      <c r="D37" s="11" t="s">
        <v>355</v>
      </c>
      <c r="E37" s="11" t="s">
        <v>238</v>
      </c>
      <c r="F37" s="11" t="s">
        <v>161</v>
      </c>
      <c r="G37" s="10" t="s">
        <v>162</v>
      </c>
      <c r="H37" s="11" t="s">
        <v>356</v>
      </c>
      <c r="I37" s="11" t="s">
        <v>357</v>
      </c>
      <c r="J37" s="10" t="s">
        <v>358</v>
      </c>
    </row>
    <row r="38" customFormat="false" ht="15" hidden="false" customHeight="true" outlineLevel="0" collapsed="false">
      <c r="A38" s="7" t="s">
        <v>359</v>
      </c>
      <c r="B38" s="7" t="s">
        <v>124</v>
      </c>
      <c r="C38" s="8" t="s">
        <v>125</v>
      </c>
      <c r="D38" s="8" t="s">
        <v>316</v>
      </c>
      <c r="E38" s="8" t="s">
        <v>232</v>
      </c>
      <c r="F38" s="8" t="s">
        <v>261</v>
      </c>
      <c r="G38" s="7" t="s">
        <v>162</v>
      </c>
      <c r="H38" s="8" t="s">
        <v>360</v>
      </c>
      <c r="I38" s="8" t="s">
        <v>361</v>
      </c>
      <c r="J38" s="7" t="s">
        <v>362</v>
      </c>
    </row>
    <row r="39" customFormat="false" ht="15" hidden="false" customHeight="true" outlineLevel="0" collapsed="false">
      <c r="A39" s="10" t="s">
        <v>363</v>
      </c>
      <c r="B39" s="10" t="s">
        <v>127</v>
      </c>
      <c r="C39" s="11" t="s">
        <v>128</v>
      </c>
      <c r="D39" s="11" t="s">
        <v>237</v>
      </c>
      <c r="E39" s="11" t="s">
        <v>182</v>
      </c>
      <c r="F39" s="11" t="s">
        <v>169</v>
      </c>
      <c r="G39" s="10" t="s">
        <v>170</v>
      </c>
      <c r="H39" s="11" t="s">
        <v>364</v>
      </c>
      <c r="I39" s="11" t="s">
        <v>365</v>
      </c>
      <c r="J39" s="10" t="s">
        <v>366</v>
      </c>
    </row>
    <row r="40" customFormat="false" ht="15" hidden="false" customHeight="true" outlineLevel="0" collapsed="false">
      <c r="A40" s="7" t="s">
        <v>367</v>
      </c>
      <c r="B40" s="7" t="s">
        <v>127</v>
      </c>
      <c r="C40" s="8" t="s">
        <v>128</v>
      </c>
      <c r="D40" s="8" t="s">
        <v>167</v>
      </c>
      <c r="E40" s="8" t="s">
        <v>368</v>
      </c>
      <c r="F40" s="8" t="s">
        <v>331</v>
      </c>
      <c r="G40" s="7" t="s">
        <v>162</v>
      </c>
      <c r="H40" s="8" t="s">
        <v>369</v>
      </c>
      <c r="I40" s="8" t="s">
        <v>370</v>
      </c>
      <c r="J40" s="7" t="s">
        <v>371</v>
      </c>
    </row>
    <row r="41" customFormat="false" ht="15" hidden="false" customHeight="true" outlineLevel="0" collapsed="false">
      <c r="A41" s="10" t="s">
        <v>372</v>
      </c>
      <c r="B41" s="10" t="s">
        <v>127</v>
      </c>
      <c r="C41" s="11" t="s">
        <v>128</v>
      </c>
      <c r="D41" s="11" t="s">
        <v>311</v>
      </c>
      <c r="E41" s="11" t="s">
        <v>182</v>
      </c>
      <c r="F41" s="11" t="s">
        <v>183</v>
      </c>
      <c r="G41" s="10" t="s">
        <v>184</v>
      </c>
      <c r="H41" s="11" t="s">
        <v>373</v>
      </c>
      <c r="I41" s="11" t="s">
        <v>374</v>
      </c>
      <c r="J41" s="10" t="s">
        <v>246</v>
      </c>
    </row>
    <row r="42" customFormat="false" ht="15" hidden="false" customHeight="true" outlineLevel="0" collapsed="false">
      <c r="A42" s="7" t="s">
        <v>375</v>
      </c>
      <c r="B42" s="7" t="s">
        <v>132</v>
      </c>
      <c r="C42" s="8" t="s">
        <v>133</v>
      </c>
      <c r="D42" s="8" t="s">
        <v>167</v>
      </c>
      <c r="E42" s="8" t="s">
        <v>282</v>
      </c>
      <c r="F42" s="8" t="s">
        <v>288</v>
      </c>
      <c r="G42" s="7" t="s">
        <v>184</v>
      </c>
      <c r="H42" s="8" t="s">
        <v>376</v>
      </c>
      <c r="I42" s="8" t="s">
        <v>377</v>
      </c>
      <c r="J42" s="7" t="s">
        <v>246</v>
      </c>
    </row>
    <row r="43" customFormat="false" ht="15" hidden="false" customHeight="true" outlineLevel="0" collapsed="false">
      <c r="A43" s="10" t="s">
        <v>378</v>
      </c>
      <c r="B43" s="10" t="s">
        <v>132</v>
      </c>
      <c r="C43" s="11" t="s">
        <v>133</v>
      </c>
      <c r="D43" s="11" t="s">
        <v>311</v>
      </c>
      <c r="E43" s="11" t="s">
        <v>238</v>
      </c>
      <c r="F43" s="11" t="s">
        <v>169</v>
      </c>
      <c r="G43" s="10" t="s">
        <v>170</v>
      </c>
      <c r="H43" s="11" t="s">
        <v>379</v>
      </c>
      <c r="I43" s="11" t="s">
        <v>380</v>
      </c>
      <c r="J43" s="10" t="s">
        <v>381</v>
      </c>
    </row>
    <row r="44" customFormat="false" ht="15" hidden="false" customHeight="true" outlineLevel="0" collapsed="false">
      <c r="A44" s="7" t="s">
        <v>382</v>
      </c>
      <c r="B44" s="7" t="s">
        <v>136</v>
      </c>
      <c r="C44" s="8" t="s">
        <v>137</v>
      </c>
      <c r="D44" s="8" t="s">
        <v>383</v>
      </c>
      <c r="E44" s="8" t="s">
        <v>196</v>
      </c>
      <c r="F44" s="8" t="s">
        <v>197</v>
      </c>
      <c r="G44" s="7" t="s">
        <v>170</v>
      </c>
      <c r="H44" s="8" t="s">
        <v>384</v>
      </c>
      <c r="I44" s="8" t="s">
        <v>385</v>
      </c>
      <c r="J44" s="7" t="s">
        <v>386</v>
      </c>
    </row>
    <row r="45" customFormat="false" ht="15" hidden="false" customHeight="true" outlineLevel="0" collapsed="false">
      <c r="A45" s="10" t="s">
        <v>387</v>
      </c>
      <c r="B45" s="10" t="s">
        <v>139</v>
      </c>
      <c r="C45" s="11" t="s">
        <v>140</v>
      </c>
      <c r="D45" s="11" t="s">
        <v>388</v>
      </c>
      <c r="E45" s="11" t="s">
        <v>168</v>
      </c>
      <c r="F45" s="11" t="s">
        <v>266</v>
      </c>
      <c r="G45" s="10" t="s">
        <v>184</v>
      </c>
      <c r="H45" s="11" t="s">
        <v>389</v>
      </c>
      <c r="I45" s="11" t="s">
        <v>390</v>
      </c>
      <c r="J45" s="10" t="s">
        <v>391</v>
      </c>
    </row>
    <row r="46" customFormat="false" ht="15" hidden="false" customHeight="true" outlineLevel="0" collapsed="false">
      <c r="A46" s="7" t="s">
        <v>392</v>
      </c>
      <c r="B46" s="7" t="s">
        <v>139</v>
      </c>
      <c r="C46" s="8" t="s">
        <v>140</v>
      </c>
      <c r="D46" s="8" t="s">
        <v>383</v>
      </c>
      <c r="E46" s="8" t="s">
        <v>196</v>
      </c>
      <c r="F46" s="8" t="s">
        <v>215</v>
      </c>
      <c r="G46" s="7" t="s">
        <v>162</v>
      </c>
      <c r="H46" s="8" t="s">
        <v>393</v>
      </c>
      <c r="I46" s="8" t="s">
        <v>394</v>
      </c>
      <c r="J46" s="7" t="s">
        <v>395</v>
      </c>
    </row>
    <row r="47" customFormat="false" ht="15" hidden="false" customHeight="true" outlineLevel="0" collapsed="false">
      <c r="A47" s="10" t="s">
        <v>396</v>
      </c>
      <c r="B47" s="10" t="s">
        <v>139</v>
      </c>
      <c r="C47" s="11" t="s">
        <v>140</v>
      </c>
      <c r="D47" s="11" t="s">
        <v>276</v>
      </c>
      <c r="E47" s="11" t="s">
        <v>221</v>
      </c>
      <c r="F47" s="11" t="s">
        <v>190</v>
      </c>
      <c r="G47" s="10" t="s">
        <v>170</v>
      </c>
      <c r="H47" s="11" t="s">
        <v>397</v>
      </c>
      <c r="I47" s="11" t="s">
        <v>398</v>
      </c>
      <c r="J47" s="10" t="s">
        <v>399</v>
      </c>
    </row>
    <row r="48" customFormat="false" ht="15" hidden="false" customHeight="true" outlineLevel="0" collapsed="false">
      <c r="A48" s="7" t="s">
        <v>400</v>
      </c>
      <c r="B48" s="7" t="s">
        <v>143</v>
      </c>
      <c r="C48" s="8" t="s">
        <v>144</v>
      </c>
      <c r="D48" s="8" t="s">
        <v>276</v>
      </c>
      <c r="E48" s="8" t="s">
        <v>330</v>
      </c>
      <c r="F48" s="8" t="s">
        <v>401</v>
      </c>
      <c r="G48" s="7" t="s">
        <v>162</v>
      </c>
      <c r="H48" s="8" t="s">
        <v>402</v>
      </c>
      <c r="I48" s="8" t="s">
        <v>403</v>
      </c>
      <c r="J48" s="7" t="s">
        <v>404</v>
      </c>
    </row>
    <row r="49" customFormat="false" ht="15" hidden="false" customHeight="true" outlineLevel="0" collapsed="false">
      <c r="A49" s="10" t="s">
        <v>405</v>
      </c>
      <c r="B49" s="10" t="s">
        <v>143</v>
      </c>
      <c r="C49" s="11" t="s">
        <v>144</v>
      </c>
      <c r="D49" s="11" t="s">
        <v>259</v>
      </c>
      <c r="E49" s="11" t="s">
        <v>160</v>
      </c>
      <c r="F49" s="11" t="s">
        <v>169</v>
      </c>
      <c r="G49" s="10" t="s">
        <v>170</v>
      </c>
      <c r="H49" s="11" t="s">
        <v>406</v>
      </c>
      <c r="I49" s="11" t="s">
        <v>407</v>
      </c>
      <c r="J49" s="10" t="s">
        <v>408</v>
      </c>
    </row>
    <row r="50" customFormat="false" ht="15" hidden="false" customHeight="true" outlineLevel="0" collapsed="false">
      <c r="A50" s="7" t="s">
        <v>409</v>
      </c>
      <c r="B50" s="7" t="s">
        <v>147</v>
      </c>
      <c r="C50" s="8" t="s">
        <v>148</v>
      </c>
      <c r="D50" s="8" t="s">
        <v>159</v>
      </c>
      <c r="E50" s="8" t="s">
        <v>260</v>
      </c>
      <c r="F50" s="8" t="s">
        <v>169</v>
      </c>
      <c r="G50" s="7" t="s">
        <v>170</v>
      </c>
      <c r="H50" s="8" t="s">
        <v>410</v>
      </c>
      <c r="I50" s="8" t="s">
        <v>411</v>
      </c>
      <c r="J50" s="7" t="s">
        <v>412</v>
      </c>
    </row>
    <row r="51" customFormat="false" ht="15" hidden="false" customHeight="true" outlineLevel="0" collapsed="false">
      <c r="A51" s="10" t="s">
        <v>413</v>
      </c>
      <c r="B51" s="10" t="s">
        <v>147</v>
      </c>
      <c r="C51" s="11" t="s">
        <v>148</v>
      </c>
      <c r="D51" s="11" t="s">
        <v>316</v>
      </c>
      <c r="E51" s="11" t="s">
        <v>414</v>
      </c>
      <c r="F51" s="11" t="s">
        <v>190</v>
      </c>
      <c r="G51" s="10" t="s">
        <v>170</v>
      </c>
      <c r="H51" s="11" t="s">
        <v>415</v>
      </c>
      <c r="I51" s="11" t="s">
        <v>416</v>
      </c>
      <c r="J51" s="10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8"/>
    <col collapsed="false" customWidth="true" hidden="false" outlineLevel="0" max="3" min="3" style="1" width="34"/>
    <col collapsed="false" customWidth="true" hidden="false" outlineLevel="0" max="4" min="4" style="1" width="4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18"/>
  </cols>
  <sheetData>
    <row r="1" customFormat="false" ht="26.25" hidden="false" customHeight="true" outlineLevel="0" collapsed="false">
      <c r="A1" s="6" t="s">
        <v>418</v>
      </c>
      <c r="B1" s="6" t="s">
        <v>20</v>
      </c>
      <c r="C1" s="6" t="s">
        <v>419</v>
      </c>
      <c r="D1" s="6" t="s">
        <v>420</v>
      </c>
      <c r="E1" s="6" t="s">
        <v>421</v>
      </c>
      <c r="F1" s="6" t="s">
        <v>422</v>
      </c>
      <c r="G1" s="6" t="s">
        <v>423</v>
      </c>
      <c r="H1" s="6" t="s">
        <v>424</v>
      </c>
      <c r="I1" s="6" t="s">
        <v>425</v>
      </c>
      <c r="J1" s="6" t="s">
        <v>426</v>
      </c>
    </row>
    <row r="2" customFormat="false" ht="15" hidden="false" customHeight="true" outlineLevel="0" collapsed="false">
      <c r="A2" s="7" t="s">
        <v>427</v>
      </c>
      <c r="B2" s="8" t="s">
        <v>32</v>
      </c>
      <c r="C2" s="8" t="s">
        <v>428</v>
      </c>
      <c r="D2" s="8" t="s">
        <v>131</v>
      </c>
      <c r="E2" s="9" t="n">
        <v>177.4</v>
      </c>
      <c r="F2" s="7" t="s">
        <v>429</v>
      </c>
      <c r="G2" s="15" t="n">
        <v>0.4</v>
      </c>
      <c r="H2" s="9" t="n">
        <f aca="false">E2*G2</f>
        <v>70.96</v>
      </c>
      <c r="I2" s="7" t="s">
        <v>430</v>
      </c>
      <c r="J2" s="8" t="s">
        <v>38</v>
      </c>
    </row>
    <row r="3" customFormat="false" ht="15" hidden="false" customHeight="true" outlineLevel="0" collapsed="false">
      <c r="A3" s="10" t="s">
        <v>431</v>
      </c>
      <c r="B3" s="11" t="s">
        <v>42</v>
      </c>
      <c r="C3" s="11" t="s">
        <v>432</v>
      </c>
      <c r="D3" s="11" t="s">
        <v>57</v>
      </c>
      <c r="E3" s="12" t="n">
        <v>345.6</v>
      </c>
      <c r="F3" s="10" t="s">
        <v>433</v>
      </c>
      <c r="G3" s="16" t="n">
        <v>0.6</v>
      </c>
      <c r="H3" s="12" t="n">
        <f aca="false">E3*G3</f>
        <v>207.36</v>
      </c>
      <c r="I3" s="10" t="s">
        <v>434</v>
      </c>
      <c r="J3" s="11" t="s">
        <v>45</v>
      </c>
    </row>
    <row r="4" customFormat="false" ht="15" hidden="false" customHeight="true" outlineLevel="0" collapsed="false">
      <c r="A4" s="7" t="s">
        <v>435</v>
      </c>
      <c r="B4" s="8" t="s">
        <v>42</v>
      </c>
      <c r="C4" s="8" t="s">
        <v>432</v>
      </c>
      <c r="D4" s="8" t="s">
        <v>57</v>
      </c>
      <c r="E4" s="9" t="n">
        <v>600.5</v>
      </c>
      <c r="F4" s="7" t="s">
        <v>436</v>
      </c>
      <c r="G4" s="15" t="n">
        <v>0.8</v>
      </c>
      <c r="H4" s="9" t="n">
        <f aca="false">E4*G4</f>
        <v>480.4</v>
      </c>
      <c r="I4" s="7" t="s">
        <v>437</v>
      </c>
      <c r="J4" s="8" t="s">
        <v>45</v>
      </c>
    </row>
    <row r="5" customFormat="false" ht="15" hidden="false" customHeight="true" outlineLevel="0" collapsed="false">
      <c r="A5" s="10" t="s">
        <v>438</v>
      </c>
      <c r="B5" s="11" t="s">
        <v>55</v>
      </c>
      <c r="C5" s="11" t="s">
        <v>439</v>
      </c>
      <c r="D5" s="11" t="s">
        <v>64</v>
      </c>
      <c r="E5" s="12" t="n">
        <v>512.8</v>
      </c>
      <c r="F5" s="10" t="s">
        <v>440</v>
      </c>
      <c r="G5" s="16" t="n">
        <v>0.1</v>
      </c>
      <c r="H5" s="12" t="n">
        <f aca="false">E5*G5</f>
        <v>51.28</v>
      </c>
      <c r="I5" s="10" t="s">
        <v>441</v>
      </c>
      <c r="J5" s="11" t="s">
        <v>58</v>
      </c>
    </row>
    <row r="6" customFormat="false" ht="15" hidden="false" customHeight="true" outlineLevel="0" collapsed="false">
      <c r="A6" s="7" t="s">
        <v>442</v>
      </c>
      <c r="B6" s="8" t="s">
        <v>55</v>
      </c>
      <c r="C6" s="8" t="s">
        <v>439</v>
      </c>
      <c r="D6" s="8" t="s">
        <v>64</v>
      </c>
      <c r="E6" s="9" t="n">
        <v>131.8</v>
      </c>
      <c r="F6" s="7" t="s">
        <v>443</v>
      </c>
      <c r="G6" s="15" t="n">
        <v>0</v>
      </c>
      <c r="H6" s="9" t="n">
        <f aca="false">E6*G6</f>
        <v>0</v>
      </c>
      <c r="I6" s="7" t="s">
        <v>444</v>
      </c>
      <c r="J6" s="8" t="s">
        <v>58</v>
      </c>
    </row>
    <row r="7" customFormat="false" ht="15" hidden="false" customHeight="true" outlineLevel="0" collapsed="false">
      <c r="A7" s="10" t="s">
        <v>445</v>
      </c>
      <c r="B7" s="11" t="s">
        <v>60</v>
      </c>
      <c r="C7" s="11" t="s">
        <v>446</v>
      </c>
      <c r="D7" s="11" t="s">
        <v>75</v>
      </c>
      <c r="E7" s="12" t="n">
        <v>355.2</v>
      </c>
      <c r="F7" s="10" t="s">
        <v>436</v>
      </c>
      <c r="G7" s="16" t="n">
        <v>0.8</v>
      </c>
      <c r="H7" s="12" t="n">
        <f aca="false">E7*G7</f>
        <v>284.16</v>
      </c>
      <c r="I7" s="10" t="s">
        <v>447</v>
      </c>
      <c r="J7" s="11" t="s">
        <v>65</v>
      </c>
    </row>
    <row r="8" customFormat="false" ht="15" hidden="false" customHeight="true" outlineLevel="0" collapsed="false">
      <c r="A8" s="7" t="s">
        <v>448</v>
      </c>
      <c r="B8" s="8" t="s">
        <v>60</v>
      </c>
      <c r="C8" s="8" t="s">
        <v>439</v>
      </c>
      <c r="D8" s="8" t="s">
        <v>64</v>
      </c>
      <c r="E8" s="9" t="n">
        <v>545.8</v>
      </c>
      <c r="F8" s="7" t="s">
        <v>436</v>
      </c>
      <c r="G8" s="15" t="n">
        <v>0.8</v>
      </c>
      <c r="H8" s="9" t="n">
        <f aca="false">E8*G8</f>
        <v>436.64</v>
      </c>
      <c r="I8" s="7" t="s">
        <v>449</v>
      </c>
      <c r="J8" s="8" t="s">
        <v>65</v>
      </c>
    </row>
    <row r="9" customFormat="false" ht="15" hidden="false" customHeight="true" outlineLevel="0" collapsed="false">
      <c r="A9" s="10" t="s">
        <v>450</v>
      </c>
      <c r="B9" s="11" t="s">
        <v>68</v>
      </c>
      <c r="C9" s="11" t="s">
        <v>451</v>
      </c>
      <c r="D9" s="11" t="s">
        <v>123</v>
      </c>
      <c r="E9" s="12" t="n">
        <v>523.5</v>
      </c>
      <c r="F9" s="10" t="s">
        <v>452</v>
      </c>
      <c r="G9" s="16" t="n">
        <v>0.25</v>
      </c>
      <c r="H9" s="12" t="n">
        <f aca="false">E9*G9</f>
        <v>130.875</v>
      </c>
      <c r="I9" s="10" t="s">
        <v>187</v>
      </c>
      <c r="J9" s="11" t="s">
        <v>58</v>
      </c>
    </row>
    <row r="10" customFormat="false" ht="15" hidden="false" customHeight="true" outlineLevel="0" collapsed="false">
      <c r="A10" s="7" t="s">
        <v>453</v>
      </c>
      <c r="B10" s="8" t="s">
        <v>78</v>
      </c>
      <c r="C10" s="8" t="s">
        <v>454</v>
      </c>
      <c r="D10" s="8" t="s">
        <v>52</v>
      </c>
      <c r="E10" s="9" t="n">
        <v>205.7</v>
      </c>
      <c r="F10" s="7" t="s">
        <v>440</v>
      </c>
      <c r="G10" s="15" t="n">
        <v>0.1</v>
      </c>
      <c r="H10" s="9" t="n">
        <f aca="false">E10*G10</f>
        <v>20.57</v>
      </c>
      <c r="I10" s="7" t="s">
        <v>455</v>
      </c>
      <c r="J10" s="8" t="s">
        <v>53</v>
      </c>
    </row>
    <row r="11" customFormat="false" ht="15" hidden="false" customHeight="true" outlineLevel="0" collapsed="false">
      <c r="A11" s="10" t="s">
        <v>456</v>
      </c>
      <c r="B11" s="11" t="s">
        <v>78</v>
      </c>
      <c r="C11" s="11" t="s">
        <v>457</v>
      </c>
      <c r="D11" s="11" t="s">
        <v>37</v>
      </c>
      <c r="E11" s="12" t="n">
        <v>606</v>
      </c>
      <c r="F11" s="10" t="s">
        <v>433</v>
      </c>
      <c r="G11" s="16" t="n">
        <v>0.6</v>
      </c>
      <c r="H11" s="12" t="n">
        <f aca="false">E11*G11</f>
        <v>363.6</v>
      </c>
      <c r="I11" s="10" t="s">
        <v>458</v>
      </c>
      <c r="J11" s="11" t="s">
        <v>53</v>
      </c>
    </row>
    <row r="12" customFormat="false" ht="15" hidden="false" customHeight="true" outlineLevel="0" collapsed="false">
      <c r="A12" s="7" t="s">
        <v>459</v>
      </c>
      <c r="B12" s="8" t="s">
        <v>85</v>
      </c>
      <c r="C12" s="8" t="s">
        <v>460</v>
      </c>
      <c r="D12" s="8" t="s">
        <v>97</v>
      </c>
      <c r="E12" s="9" t="n">
        <v>671.7</v>
      </c>
      <c r="F12" s="7" t="s">
        <v>436</v>
      </c>
      <c r="G12" s="15" t="n">
        <v>0.8</v>
      </c>
      <c r="H12" s="9" t="n">
        <f aca="false">E12*G12</f>
        <v>537.36</v>
      </c>
      <c r="I12" s="7" t="s">
        <v>461</v>
      </c>
      <c r="J12" s="8" t="s">
        <v>65</v>
      </c>
    </row>
    <row r="13" customFormat="false" ht="15" hidden="false" customHeight="true" outlineLevel="0" collapsed="false">
      <c r="A13" s="10" t="s">
        <v>462</v>
      </c>
      <c r="B13" s="11" t="s">
        <v>85</v>
      </c>
      <c r="C13" s="11" t="s">
        <v>454</v>
      </c>
      <c r="D13" s="11" t="s">
        <v>52</v>
      </c>
      <c r="E13" s="12" t="n">
        <v>348.3</v>
      </c>
      <c r="F13" s="10" t="s">
        <v>443</v>
      </c>
      <c r="G13" s="16" t="n">
        <v>0</v>
      </c>
      <c r="H13" s="12" t="n">
        <f aca="false">E13*G13</f>
        <v>0</v>
      </c>
      <c r="I13" s="10" t="s">
        <v>463</v>
      </c>
      <c r="J13" s="11" t="s">
        <v>65</v>
      </c>
    </row>
    <row r="14" customFormat="false" ht="15" hidden="false" customHeight="true" outlineLevel="0" collapsed="false">
      <c r="A14" s="7" t="s">
        <v>464</v>
      </c>
      <c r="B14" s="8" t="s">
        <v>95</v>
      </c>
      <c r="C14" s="8" t="s">
        <v>439</v>
      </c>
      <c r="D14" s="8" t="s">
        <v>64</v>
      </c>
      <c r="E14" s="9" t="n">
        <v>633.9</v>
      </c>
      <c r="F14" s="7" t="s">
        <v>443</v>
      </c>
      <c r="G14" s="15" t="n">
        <v>0</v>
      </c>
      <c r="H14" s="9" t="n">
        <f aca="false">E14*G14</f>
        <v>0</v>
      </c>
      <c r="I14" s="7" t="s">
        <v>465</v>
      </c>
      <c r="J14" s="8" t="s">
        <v>53</v>
      </c>
    </row>
    <row r="15" customFormat="false" ht="15" hidden="false" customHeight="true" outlineLevel="0" collapsed="false">
      <c r="A15" s="10" t="s">
        <v>466</v>
      </c>
      <c r="B15" s="11" t="s">
        <v>95</v>
      </c>
      <c r="C15" s="11" t="s">
        <v>454</v>
      </c>
      <c r="D15" s="11" t="s">
        <v>52</v>
      </c>
      <c r="E15" s="12" t="n">
        <v>376.3</v>
      </c>
      <c r="F15" s="10" t="s">
        <v>443</v>
      </c>
      <c r="G15" s="16" t="n">
        <v>0</v>
      </c>
      <c r="H15" s="12" t="n">
        <f aca="false">E15*G15</f>
        <v>0</v>
      </c>
      <c r="I15" s="10" t="s">
        <v>467</v>
      </c>
      <c r="J15" s="11" t="s">
        <v>53</v>
      </c>
    </row>
    <row r="16" customFormat="false" ht="15" hidden="false" customHeight="true" outlineLevel="0" collapsed="false">
      <c r="A16" s="7" t="s">
        <v>468</v>
      </c>
      <c r="B16" s="8" t="s">
        <v>99</v>
      </c>
      <c r="C16" s="8" t="s">
        <v>428</v>
      </c>
      <c r="D16" s="8" t="s">
        <v>131</v>
      </c>
      <c r="E16" s="9" t="n">
        <v>195</v>
      </c>
      <c r="F16" s="7" t="s">
        <v>469</v>
      </c>
      <c r="G16" s="15" t="n">
        <v>1</v>
      </c>
      <c r="H16" s="9" t="n">
        <f aca="false">E16*G16</f>
        <v>195</v>
      </c>
      <c r="I16" s="7" t="s">
        <v>470</v>
      </c>
      <c r="J16" s="8" t="s">
        <v>65</v>
      </c>
    </row>
    <row r="17" customFormat="false" ht="15" hidden="false" customHeight="true" outlineLevel="0" collapsed="false">
      <c r="A17" s="10" t="s">
        <v>471</v>
      </c>
      <c r="B17" s="11" t="s">
        <v>104</v>
      </c>
      <c r="C17" s="11" t="s">
        <v>457</v>
      </c>
      <c r="D17" s="11" t="s">
        <v>37</v>
      </c>
      <c r="E17" s="12" t="n">
        <v>192.7</v>
      </c>
      <c r="F17" s="10" t="s">
        <v>452</v>
      </c>
      <c r="G17" s="16" t="n">
        <v>0.25</v>
      </c>
      <c r="H17" s="12" t="n">
        <f aca="false">E17*G17</f>
        <v>48.175</v>
      </c>
      <c r="I17" s="10" t="s">
        <v>472</v>
      </c>
      <c r="J17" s="11" t="s">
        <v>65</v>
      </c>
    </row>
    <row r="18" customFormat="false" ht="15" hidden="false" customHeight="true" outlineLevel="0" collapsed="false">
      <c r="A18" s="7" t="s">
        <v>473</v>
      </c>
      <c r="B18" s="8" t="s">
        <v>111</v>
      </c>
      <c r="C18" s="8" t="s">
        <v>454</v>
      </c>
      <c r="D18" s="8" t="s">
        <v>52</v>
      </c>
      <c r="E18" s="9" t="n">
        <v>362.8</v>
      </c>
      <c r="F18" s="7" t="s">
        <v>429</v>
      </c>
      <c r="G18" s="15" t="n">
        <v>0.4</v>
      </c>
      <c r="H18" s="9" t="n">
        <f aca="false">E18*G18</f>
        <v>145.12</v>
      </c>
      <c r="I18" s="7" t="s">
        <v>340</v>
      </c>
      <c r="J18" s="8" t="s">
        <v>113</v>
      </c>
    </row>
    <row r="19" customFormat="false" ht="15" hidden="false" customHeight="true" outlineLevel="0" collapsed="false">
      <c r="A19" s="10" t="s">
        <v>474</v>
      </c>
      <c r="B19" s="11" t="s">
        <v>111</v>
      </c>
      <c r="C19" s="11" t="s">
        <v>475</v>
      </c>
      <c r="D19" s="11" t="s">
        <v>44</v>
      </c>
      <c r="E19" s="12" t="n">
        <v>307.4</v>
      </c>
      <c r="F19" s="10" t="s">
        <v>452</v>
      </c>
      <c r="G19" s="16" t="n">
        <v>0.25</v>
      </c>
      <c r="H19" s="12" t="n">
        <f aca="false">E19*G19</f>
        <v>76.85</v>
      </c>
      <c r="I19" s="10" t="s">
        <v>476</v>
      </c>
      <c r="J19" s="11" t="s">
        <v>113</v>
      </c>
    </row>
    <row r="20" customFormat="false" ht="15" hidden="false" customHeight="true" outlineLevel="0" collapsed="false">
      <c r="A20" s="7" t="s">
        <v>477</v>
      </c>
      <c r="B20" s="8" t="s">
        <v>121</v>
      </c>
      <c r="C20" s="8" t="s">
        <v>478</v>
      </c>
      <c r="D20" s="8" t="s">
        <v>102</v>
      </c>
      <c r="E20" s="9" t="n">
        <v>708.5</v>
      </c>
      <c r="F20" s="7" t="s">
        <v>433</v>
      </c>
      <c r="G20" s="15" t="n">
        <v>0.6</v>
      </c>
      <c r="H20" s="9" t="n">
        <f aca="false">E20*G20</f>
        <v>425.1</v>
      </c>
      <c r="I20" s="7" t="s">
        <v>479</v>
      </c>
      <c r="J20" s="8" t="s">
        <v>113</v>
      </c>
    </row>
    <row r="21" customFormat="false" ht="15" hidden="false" customHeight="true" outlineLevel="0" collapsed="false">
      <c r="A21" s="10" t="s">
        <v>480</v>
      </c>
      <c r="B21" s="11" t="s">
        <v>121</v>
      </c>
      <c r="C21" s="11" t="s">
        <v>475</v>
      </c>
      <c r="D21" s="11" t="s">
        <v>44</v>
      </c>
      <c r="E21" s="12" t="n">
        <v>643.7</v>
      </c>
      <c r="F21" s="10" t="s">
        <v>443</v>
      </c>
      <c r="G21" s="16" t="n">
        <v>0</v>
      </c>
      <c r="H21" s="12" t="n">
        <f aca="false">E21*G21</f>
        <v>0</v>
      </c>
      <c r="I21" s="10" t="s">
        <v>481</v>
      </c>
      <c r="J21" s="11" t="s">
        <v>113</v>
      </c>
    </row>
    <row r="22" customFormat="false" ht="15" hidden="false" customHeight="true" outlineLevel="0" collapsed="false">
      <c r="A22" s="7" t="s">
        <v>482</v>
      </c>
      <c r="B22" s="8" t="s">
        <v>125</v>
      </c>
      <c r="C22" s="8" t="s">
        <v>439</v>
      </c>
      <c r="D22" s="8" t="s">
        <v>64</v>
      </c>
      <c r="E22" s="9" t="n">
        <v>222.9</v>
      </c>
      <c r="F22" s="7" t="s">
        <v>433</v>
      </c>
      <c r="G22" s="15" t="n">
        <v>0.6</v>
      </c>
      <c r="H22" s="9" t="n">
        <f aca="false">E22*G22</f>
        <v>133.74</v>
      </c>
      <c r="I22" s="7" t="s">
        <v>483</v>
      </c>
      <c r="J22" s="8" t="s">
        <v>58</v>
      </c>
    </row>
    <row r="23" customFormat="false" ht="15" hidden="false" customHeight="true" outlineLevel="0" collapsed="false">
      <c r="A23" s="10" t="s">
        <v>484</v>
      </c>
      <c r="B23" s="11" t="s">
        <v>128</v>
      </c>
      <c r="C23" s="11" t="s">
        <v>451</v>
      </c>
      <c r="D23" s="11" t="s">
        <v>123</v>
      </c>
      <c r="E23" s="12" t="n">
        <v>603.7</v>
      </c>
      <c r="F23" s="10" t="s">
        <v>469</v>
      </c>
      <c r="G23" s="16" t="n">
        <v>1</v>
      </c>
      <c r="H23" s="12" t="n">
        <f aca="false">E23*G23</f>
        <v>603.7</v>
      </c>
      <c r="I23" s="10" t="s">
        <v>485</v>
      </c>
      <c r="J23" s="11" t="s">
        <v>65</v>
      </c>
    </row>
    <row r="24" customFormat="false" ht="15" hidden="false" customHeight="true" outlineLevel="0" collapsed="false">
      <c r="A24" s="7" t="s">
        <v>486</v>
      </c>
      <c r="B24" s="8" t="s">
        <v>128</v>
      </c>
      <c r="C24" s="8" t="s">
        <v>432</v>
      </c>
      <c r="D24" s="8" t="s">
        <v>57</v>
      </c>
      <c r="E24" s="9" t="n">
        <v>691.7</v>
      </c>
      <c r="F24" s="7" t="s">
        <v>443</v>
      </c>
      <c r="G24" s="15" t="n">
        <v>0</v>
      </c>
      <c r="H24" s="9" t="n">
        <f aca="false">E24*G24</f>
        <v>0</v>
      </c>
      <c r="I24" s="7" t="s">
        <v>487</v>
      </c>
      <c r="J24" s="8" t="s">
        <v>65</v>
      </c>
    </row>
    <row r="25" customFormat="false" ht="15" hidden="false" customHeight="true" outlineLevel="0" collapsed="false">
      <c r="A25" s="10" t="s">
        <v>488</v>
      </c>
      <c r="B25" s="11" t="s">
        <v>133</v>
      </c>
      <c r="C25" s="11" t="s">
        <v>489</v>
      </c>
      <c r="D25" s="11" t="s">
        <v>70</v>
      </c>
      <c r="E25" s="12" t="n">
        <v>505.7</v>
      </c>
      <c r="F25" s="10" t="s">
        <v>436</v>
      </c>
      <c r="G25" s="16" t="n">
        <v>0.8</v>
      </c>
      <c r="H25" s="12" t="n">
        <f aca="false">E25*G25</f>
        <v>404.56</v>
      </c>
      <c r="I25" s="10" t="s">
        <v>490</v>
      </c>
      <c r="J25" s="11" t="s">
        <v>58</v>
      </c>
    </row>
    <row r="26" customFormat="false" ht="15" hidden="false" customHeight="true" outlineLevel="0" collapsed="false">
      <c r="A26" s="7" t="s">
        <v>491</v>
      </c>
      <c r="B26" s="8" t="s">
        <v>133</v>
      </c>
      <c r="C26" s="8" t="s">
        <v>475</v>
      </c>
      <c r="D26" s="8" t="s">
        <v>44</v>
      </c>
      <c r="E26" s="9" t="n">
        <v>123.4</v>
      </c>
      <c r="F26" s="7" t="s">
        <v>469</v>
      </c>
      <c r="G26" s="15" t="n">
        <v>1</v>
      </c>
      <c r="H26" s="9" t="n">
        <f aca="false">E26*G26</f>
        <v>123.4</v>
      </c>
      <c r="I26" s="7" t="s">
        <v>492</v>
      </c>
      <c r="J26" s="8" t="s">
        <v>58</v>
      </c>
    </row>
    <row r="27" customFormat="false" ht="15" hidden="false" customHeight="true" outlineLevel="0" collapsed="false">
      <c r="A27" s="10" t="s">
        <v>493</v>
      </c>
      <c r="B27" s="11" t="s">
        <v>137</v>
      </c>
      <c r="C27" s="11" t="s">
        <v>494</v>
      </c>
      <c r="D27" s="11" t="s">
        <v>80</v>
      </c>
      <c r="E27" s="12" t="n">
        <v>178.5</v>
      </c>
      <c r="F27" s="10" t="s">
        <v>433</v>
      </c>
      <c r="G27" s="16" t="n">
        <v>0.6</v>
      </c>
      <c r="H27" s="12" t="n">
        <f aca="false">E27*G27</f>
        <v>107.1</v>
      </c>
      <c r="I27" s="10" t="s">
        <v>495</v>
      </c>
      <c r="J27" s="11" t="s">
        <v>53</v>
      </c>
    </row>
    <row r="28" customFormat="false" ht="15" hidden="false" customHeight="true" outlineLevel="0" collapsed="false">
      <c r="A28" s="7" t="s">
        <v>496</v>
      </c>
      <c r="B28" s="8" t="s">
        <v>137</v>
      </c>
      <c r="C28" s="8" t="s">
        <v>475</v>
      </c>
      <c r="D28" s="8" t="s">
        <v>44</v>
      </c>
      <c r="E28" s="9" t="n">
        <v>226.7</v>
      </c>
      <c r="F28" s="7" t="s">
        <v>429</v>
      </c>
      <c r="G28" s="15" t="n">
        <v>0.4</v>
      </c>
      <c r="H28" s="9" t="n">
        <f aca="false">E28*G28</f>
        <v>90.68</v>
      </c>
      <c r="I28" s="7" t="s">
        <v>497</v>
      </c>
      <c r="J28" s="8" t="s">
        <v>53</v>
      </c>
    </row>
    <row r="29" customFormat="false" ht="15" hidden="false" customHeight="true" outlineLevel="0" collapsed="false">
      <c r="A29" s="10" t="s">
        <v>498</v>
      </c>
      <c r="B29" s="11" t="s">
        <v>140</v>
      </c>
      <c r="C29" s="11" t="s">
        <v>478</v>
      </c>
      <c r="D29" s="11" t="s">
        <v>102</v>
      </c>
      <c r="E29" s="12" t="n">
        <v>568</v>
      </c>
      <c r="F29" s="10" t="s">
        <v>433</v>
      </c>
      <c r="G29" s="16" t="n">
        <v>0.6</v>
      </c>
      <c r="H29" s="12" t="n">
        <f aca="false">E29*G29</f>
        <v>340.8</v>
      </c>
      <c r="I29" s="10" t="s">
        <v>499</v>
      </c>
      <c r="J29" s="11" t="s">
        <v>45</v>
      </c>
    </row>
    <row r="30" customFormat="false" ht="15" hidden="false" customHeight="true" outlineLevel="0" collapsed="false">
      <c r="A30" s="7" t="s">
        <v>500</v>
      </c>
      <c r="B30" s="8" t="s">
        <v>148</v>
      </c>
      <c r="C30" s="8" t="s">
        <v>451</v>
      </c>
      <c r="D30" s="8" t="s">
        <v>123</v>
      </c>
      <c r="E30" s="9" t="n">
        <v>54.2</v>
      </c>
      <c r="F30" s="7" t="s">
        <v>443</v>
      </c>
      <c r="G30" s="15" t="n">
        <v>0</v>
      </c>
      <c r="H30" s="9" t="n">
        <f aca="false">E30*G30</f>
        <v>0</v>
      </c>
      <c r="I30" s="7" t="s">
        <v>501</v>
      </c>
      <c r="J30" s="8" t="s">
        <v>119</v>
      </c>
    </row>
    <row r="31" customFormat="false" ht="15" hidden="false" customHeight="true" outlineLevel="0" collapsed="false">
      <c r="D31" s="13" t="s">
        <v>149</v>
      </c>
      <c r="E31" s="14" t="n">
        <f aca="false">SUM(E2:E30)</f>
        <v>11619.4</v>
      </c>
      <c r="H31" s="14" t="n">
        <f aca="false">SUM(H2:H30)</f>
        <v>5277.43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34"/>
    <col collapsed="false" customWidth="true" hidden="false" outlineLevel="0" max="7" min="7" style="1" width="18"/>
    <col collapsed="false" customWidth="true" hidden="false" outlineLevel="0" max="8" min="8" style="1" width="28"/>
  </cols>
  <sheetData>
    <row r="1" customFormat="false" ht="15" hidden="false" customHeight="true" outlineLevel="0" collapsed="false">
      <c r="A1" s="6" t="s">
        <v>502</v>
      </c>
      <c r="B1" s="6" t="s">
        <v>503</v>
      </c>
      <c r="C1" s="6" t="s">
        <v>20</v>
      </c>
      <c r="D1" s="6" t="s">
        <v>504</v>
      </c>
      <c r="E1" s="6" t="s">
        <v>21</v>
      </c>
      <c r="F1" s="6" t="s">
        <v>505</v>
      </c>
      <c r="G1" s="6" t="s">
        <v>426</v>
      </c>
      <c r="H1" s="6" t="s">
        <v>506</v>
      </c>
    </row>
    <row r="2" customFormat="false" ht="15" hidden="false" customHeight="true" outlineLevel="0" collapsed="false">
      <c r="A2" s="7" t="s">
        <v>507</v>
      </c>
      <c r="B2" s="7" t="s">
        <v>241</v>
      </c>
      <c r="C2" s="8" t="s">
        <v>55</v>
      </c>
      <c r="D2" s="8" t="s">
        <v>508</v>
      </c>
      <c r="E2" s="7" t="s">
        <v>509</v>
      </c>
      <c r="F2" s="8" t="s">
        <v>510</v>
      </c>
      <c r="G2" s="8" t="s">
        <v>58</v>
      </c>
      <c r="H2" s="8" t="s">
        <v>511</v>
      </c>
    </row>
    <row r="3" customFormat="false" ht="15" hidden="false" customHeight="true" outlineLevel="0" collapsed="false">
      <c r="A3" s="10" t="s">
        <v>512</v>
      </c>
      <c r="B3" s="10" t="s">
        <v>225</v>
      </c>
      <c r="C3" s="11" t="s">
        <v>106</v>
      </c>
      <c r="D3" s="11" t="s">
        <v>513</v>
      </c>
      <c r="E3" s="10" t="s">
        <v>514</v>
      </c>
      <c r="F3" s="11" t="s">
        <v>515</v>
      </c>
      <c r="G3" s="11" t="s">
        <v>58</v>
      </c>
      <c r="H3" s="11" t="s">
        <v>516</v>
      </c>
    </row>
    <row r="4" customFormat="false" ht="15" hidden="false" customHeight="true" outlineLevel="0" collapsed="false">
      <c r="A4" s="7" t="s">
        <v>517</v>
      </c>
      <c r="B4" s="7" t="s">
        <v>518</v>
      </c>
      <c r="C4" s="8" t="s">
        <v>133</v>
      </c>
      <c r="D4" s="8" t="s">
        <v>519</v>
      </c>
      <c r="E4" s="7" t="s">
        <v>520</v>
      </c>
      <c r="F4" s="8" t="s">
        <v>521</v>
      </c>
      <c r="G4" s="8" t="s">
        <v>58</v>
      </c>
      <c r="H4" s="8" t="s">
        <v>522</v>
      </c>
    </row>
    <row r="5" customFormat="false" ht="15" hidden="false" customHeight="true" outlineLevel="0" collapsed="false">
      <c r="A5" s="10" t="s">
        <v>523</v>
      </c>
      <c r="B5" s="10" t="s">
        <v>524</v>
      </c>
      <c r="C5" s="11" t="s">
        <v>42</v>
      </c>
      <c r="D5" s="11" t="s">
        <v>525</v>
      </c>
      <c r="E5" s="10" t="s">
        <v>514</v>
      </c>
      <c r="F5" s="11" t="s">
        <v>526</v>
      </c>
      <c r="G5" s="11" t="s">
        <v>45</v>
      </c>
      <c r="H5" s="11" t="s">
        <v>516</v>
      </c>
    </row>
    <row r="6" customFormat="false" ht="15" hidden="false" customHeight="true" outlineLevel="0" collapsed="false">
      <c r="A6" s="7" t="s">
        <v>527</v>
      </c>
      <c r="B6" s="7" t="s">
        <v>528</v>
      </c>
      <c r="C6" s="8" t="s">
        <v>32</v>
      </c>
      <c r="D6" s="8" t="s">
        <v>529</v>
      </c>
      <c r="E6" s="7" t="s">
        <v>530</v>
      </c>
      <c r="F6" s="8" t="s">
        <v>531</v>
      </c>
      <c r="G6" s="8" t="s">
        <v>38</v>
      </c>
      <c r="H6" s="8" t="s">
        <v>532</v>
      </c>
    </row>
    <row r="7" customFormat="false" ht="15" hidden="false" customHeight="true" outlineLevel="0" collapsed="false">
      <c r="A7" s="10" t="s">
        <v>533</v>
      </c>
      <c r="B7" s="10" t="s">
        <v>528</v>
      </c>
      <c r="C7" s="11" t="s">
        <v>90</v>
      </c>
      <c r="D7" s="11" t="s">
        <v>534</v>
      </c>
      <c r="E7" s="10" t="s">
        <v>155</v>
      </c>
      <c r="F7" s="11" t="s">
        <v>535</v>
      </c>
      <c r="G7" s="11" t="s">
        <v>92</v>
      </c>
      <c r="H7" s="11" t="s">
        <v>536</v>
      </c>
    </row>
    <row r="8" customFormat="false" ht="15" hidden="false" customHeight="true" outlineLevel="0" collapsed="false">
      <c r="A8" s="7" t="s">
        <v>537</v>
      </c>
      <c r="B8" s="7" t="s">
        <v>528</v>
      </c>
      <c r="C8" s="8" t="s">
        <v>125</v>
      </c>
      <c r="D8" s="8" t="s">
        <v>538</v>
      </c>
      <c r="E8" s="7" t="s">
        <v>155</v>
      </c>
      <c r="F8" s="8" t="s">
        <v>539</v>
      </c>
      <c r="G8" s="8" t="s">
        <v>58</v>
      </c>
      <c r="H8" s="8" t="s">
        <v>540</v>
      </c>
    </row>
    <row r="9" customFormat="false" ht="15" hidden="false" customHeight="true" outlineLevel="0" collapsed="false">
      <c r="A9" s="10" t="s">
        <v>541</v>
      </c>
      <c r="B9" s="10" t="s">
        <v>542</v>
      </c>
      <c r="C9" s="11" t="s">
        <v>133</v>
      </c>
      <c r="D9" s="11" t="s">
        <v>519</v>
      </c>
      <c r="E9" s="10" t="s">
        <v>543</v>
      </c>
      <c r="F9" s="11" t="s">
        <v>544</v>
      </c>
      <c r="G9" s="11" t="s">
        <v>58</v>
      </c>
      <c r="H9" s="11" t="s">
        <v>532</v>
      </c>
    </row>
    <row r="10" customFormat="false" ht="15" hidden="false" customHeight="true" outlineLevel="0" collapsed="false">
      <c r="A10" s="7" t="s">
        <v>545</v>
      </c>
      <c r="B10" s="7" t="s">
        <v>257</v>
      </c>
      <c r="C10" s="8" t="s">
        <v>32</v>
      </c>
      <c r="D10" s="8" t="s">
        <v>546</v>
      </c>
      <c r="E10" s="7" t="s">
        <v>514</v>
      </c>
      <c r="F10" s="8" t="s">
        <v>515</v>
      </c>
      <c r="G10" s="8" t="s">
        <v>38</v>
      </c>
      <c r="H10" s="8" t="s">
        <v>547</v>
      </c>
    </row>
    <row r="11" customFormat="false" ht="15" hidden="false" customHeight="true" outlineLevel="0" collapsed="false">
      <c r="A11" s="10" t="s">
        <v>548</v>
      </c>
      <c r="B11" s="10" t="s">
        <v>257</v>
      </c>
      <c r="C11" s="11" t="s">
        <v>133</v>
      </c>
      <c r="D11" s="11" t="s">
        <v>549</v>
      </c>
      <c r="E11" s="10" t="s">
        <v>530</v>
      </c>
      <c r="F11" s="11" t="s">
        <v>550</v>
      </c>
      <c r="G11" s="11" t="s">
        <v>58</v>
      </c>
      <c r="H11" s="11" t="s">
        <v>516</v>
      </c>
    </row>
    <row r="12" customFormat="false" ht="15" hidden="false" customHeight="true" outlineLevel="0" collapsed="false">
      <c r="A12" s="7" t="s">
        <v>551</v>
      </c>
      <c r="B12" s="7" t="s">
        <v>552</v>
      </c>
      <c r="C12" s="8" t="s">
        <v>99</v>
      </c>
      <c r="D12" s="8" t="s">
        <v>553</v>
      </c>
      <c r="E12" s="7" t="s">
        <v>155</v>
      </c>
      <c r="F12" s="8" t="s">
        <v>554</v>
      </c>
      <c r="G12" s="8" t="s">
        <v>65</v>
      </c>
      <c r="H12" s="8" t="s">
        <v>547</v>
      </c>
    </row>
    <row r="13" customFormat="false" ht="15" hidden="false" customHeight="true" outlineLevel="0" collapsed="false">
      <c r="A13" s="10" t="s">
        <v>555</v>
      </c>
      <c r="B13" s="10" t="s">
        <v>552</v>
      </c>
      <c r="C13" s="11" t="s">
        <v>99</v>
      </c>
      <c r="D13" s="11" t="s">
        <v>553</v>
      </c>
      <c r="E13" s="10" t="s">
        <v>520</v>
      </c>
      <c r="F13" s="11" t="s">
        <v>521</v>
      </c>
      <c r="G13" s="11" t="s">
        <v>65</v>
      </c>
      <c r="H13" s="11" t="s">
        <v>536</v>
      </c>
    </row>
    <row r="14" customFormat="false" ht="15" hidden="false" customHeight="true" outlineLevel="0" collapsed="false">
      <c r="A14" s="7" t="s">
        <v>556</v>
      </c>
      <c r="B14" s="7" t="s">
        <v>501</v>
      </c>
      <c r="C14" s="8" t="s">
        <v>111</v>
      </c>
      <c r="D14" s="8" t="s">
        <v>557</v>
      </c>
      <c r="E14" s="7" t="s">
        <v>520</v>
      </c>
      <c r="F14" s="8" t="s">
        <v>558</v>
      </c>
      <c r="G14" s="8" t="s">
        <v>113</v>
      </c>
      <c r="H14" s="8" t="s">
        <v>511</v>
      </c>
    </row>
    <row r="15" customFormat="false" ht="15" hidden="false" customHeight="true" outlineLevel="0" collapsed="false">
      <c r="A15" s="10" t="s">
        <v>559</v>
      </c>
      <c r="B15" s="10" t="s">
        <v>560</v>
      </c>
      <c r="C15" s="11" t="s">
        <v>144</v>
      </c>
      <c r="D15" s="11" t="s">
        <v>561</v>
      </c>
      <c r="E15" s="10" t="s">
        <v>530</v>
      </c>
      <c r="F15" s="11" t="s">
        <v>531</v>
      </c>
      <c r="G15" s="11" t="s">
        <v>53</v>
      </c>
      <c r="H15" s="11" t="s">
        <v>532</v>
      </c>
    </row>
    <row r="16" customFormat="false" ht="15" hidden="false" customHeight="true" outlineLevel="0" collapsed="false">
      <c r="A16" s="7" t="s">
        <v>562</v>
      </c>
      <c r="B16" s="7" t="s">
        <v>563</v>
      </c>
      <c r="C16" s="8" t="s">
        <v>78</v>
      </c>
      <c r="D16" s="8" t="s">
        <v>564</v>
      </c>
      <c r="E16" s="7" t="s">
        <v>514</v>
      </c>
      <c r="F16" s="8" t="s">
        <v>565</v>
      </c>
      <c r="G16" s="8" t="s">
        <v>53</v>
      </c>
      <c r="H16" s="8" t="s">
        <v>522</v>
      </c>
    </row>
    <row r="17" customFormat="false" ht="15" hidden="false" customHeight="true" outlineLevel="0" collapsed="false">
      <c r="A17" s="10" t="s">
        <v>566</v>
      </c>
      <c r="B17" s="10" t="s">
        <v>567</v>
      </c>
      <c r="C17" s="11" t="s">
        <v>99</v>
      </c>
      <c r="D17" s="11" t="s">
        <v>553</v>
      </c>
      <c r="E17" s="10" t="s">
        <v>520</v>
      </c>
      <c r="F17" s="11" t="s">
        <v>568</v>
      </c>
      <c r="G17" s="11" t="s">
        <v>65</v>
      </c>
      <c r="H17" s="11" t="s">
        <v>532</v>
      </c>
    </row>
    <row r="18" customFormat="false" ht="15" hidden="false" customHeight="true" outlineLevel="0" collapsed="false">
      <c r="A18" s="7" t="s">
        <v>569</v>
      </c>
      <c r="B18" s="7" t="s">
        <v>570</v>
      </c>
      <c r="C18" s="8" t="s">
        <v>111</v>
      </c>
      <c r="D18" s="8" t="s">
        <v>557</v>
      </c>
      <c r="E18" s="7" t="s">
        <v>509</v>
      </c>
      <c r="F18" s="8" t="s">
        <v>571</v>
      </c>
      <c r="G18" s="8" t="s">
        <v>113</v>
      </c>
      <c r="H18" s="8" t="s">
        <v>516</v>
      </c>
    </row>
    <row r="19" customFormat="false" ht="15" hidden="false" customHeight="true" outlineLevel="0" collapsed="false">
      <c r="A19" s="10" t="s">
        <v>572</v>
      </c>
      <c r="B19" s="10" t="s">
        <v>573</v>
      </c>
      <c r="C19" s="11" t="s">
        <v>144</v>
      </c>
      <c r="D19" s="11" t="s">
        <v>561</v>
      </c>
      <c r="E19" s="10" t="s">
        <v>520</v>
      </c>
      <c r="F19" s="11" t="s">
        <v>558</v>
      </c>
      <c r="G19" s="11" t="s">
        <v>53</v>
      </c>
      <c r="H19" s="11" t="s">
        <v>540</v>
      </c>
    </row>
    <row r="20" customFormat="false" ht="15" hidden="false" customHeight="true" outlineLevel="0" collapsed="false">
      <c r="A20" s="7" t="s">
        <v>574</v>
      </c>
      <c r="B20" s="7" t="s">
        <v>575</v>
      </c>
      <c r="C20" s="8" t="s">
        <v>42</v>
      </c>
      <c r="D20" s="8" t="s">
        <v>576</v>
      </c>
      <c r="E20" s="7" t="s">
        <v>509</v>
      </c>
      <c r="F20" s="8" t="s">
        <v>571</v>
      </c>
      <c r="G20" s="8" t="s">
        <v>45</v>
      </c>
      <c r="H20" s="8" t="s">
        <v>516</v>
      </c>
    </row>
    <row r="21" customFormat="false" ht="15" hidden="false" customHeight="true" outlineLevel="0" collapsed="false">
      <c r="A21" s="10" t="s">
        <v>577</v>
      </c>
      <c r="B21" s="10" t="s">
        <v>165</v>
      </c>
      <c r="C21" s="11" t="s">
        <v>104</v>
      </c>
      <c r="D21" s="11" t="s">
        <v>578</v>
      </c>
      <c r="E21" s="10" t="s">
        <v>543</v>
      </c>
      <c r="F21" s="11" t="s">
        <v>579</v>
      </c>
      <c r="G21" s="11" t="s">
        <v>65</v>
      </c>
      <c r="H21" s="11" t="s">
        <v>532</v>
      </c>
    </row>
    <row r="22" customFormat="false" ht="15" hidden="false" customHeight="true" outlineLevel="0" collapsed="false">
      <c r="A22" s="7" t="s">
        <v>580</v>
      </c>
      <c r="B22" s="7" t="s">
        <v>165</v>
      </c>
      <c r="C22" s="8" t="s">
        <v>148</v>
      </c>
      <c r="D22" s="8" t="s">
        <v>581</v>
      </c>
      <c r="E22" s="7" t="s">
        <v>509</v>
      </c>
      <c r="F22" s="8" t="s">
        <v>582</v>
      </c>
      <c r="G22" s="8" t="s">
        <v>119</v>
      </c>
      <c r="H22" s="8" t="s">
        <v>536</v>
      </c>
    </row>
    <row r="23" customFormat="false" ht="15" hidden="false" customHeight="true" outlineLevel="0" collapsed="false">
      <c r="A23" s="10" t="s">
        <v>583</v>
      </c>
      <c r="B23" s="10" t="s">
        <v>584</v>
      </c>
      <c r="C23" s="11" t="s">
        <v>60</v>
      </c>
      <c r="D23" s="11" t="s">
        <v>585</v>
      </c>
      <c r="E23" s="10" t="s">
        <v>530</v>
      </c>
      <c r="F23" s="11" t="s">
        <v>550</v>
      </c>
      <c r="G23" s="11" t="s">
        <v>65</v>
      </c>
      <c r="H23" s="11" t="s">
        <v>532</v>
      </c>
    </row>
    <row r="24" customFormat="false" ht="15" hidden="false" customHeight="true" outlineLevel="0" collapsed="false">
      <c r="A24" s="7" t="s">
        <v>586</v>
      </c>
      <c r="B24" s="7" t="s">
        <v>319</v>
      </c>
      <c r="C24" s="8" t="s">
        <v>78</v>
      </c>
      <c r="D24" s="8" t="s">
        <v>564</v>
      </c>
      <c r="E24" s="7" t="s">
        <v>155</v>
      </c>
      <c r="F24" s="8" t="s">
        <v>587</v>
      </c>
      <c r="G24" s="8" t="s">
        <v>53</v>
      </c>
      <c r="H24" s="8" t="s">
        <v>516</v>
      </c>
    </row>
    <row r="25" customFormat="false" ht="15" hidden="false" customHeight="true" outlineLevel="0" collapsed="false">
      <c r="A25" s="10" t="s">
        <v>588</v>
      </c>
      <c r="B25" s="10" t="s">
        <v>327</v>
      </c>
      <c r="C25" s="11" t="s">
        <v>68</v>
      </c>
      <c r="D25" s="11" t="s">
        <v>589</v>
      </c>
      <c r="E25" s="10" t="s">
        <v>155</v>
      </c>
      <c r="F25" s="11" t="s">
        <v>535</v>
      </c>
      <c r="G25" s="11" t="s">
        <v>58</v>
      </c>
      <c r="H25" s="11" t="s">
        <v>532</v>
      </c>
    </row>
    <row r="26" customFormat="false" ht="15" hidden="false" customHeight="true" outlineLevel="0" collapsed="false">
      <c r="A26" s="7" t="s">
        <v>590</v>
      </c>
      <c r="B26" s="7" t="s">
        <v>305</v>
      </c>
      <c r="C26" s="8" t="s">
        <v>104</v>
      </c>
      <c r="D26" s="8" t="s">
        <v>591</v>
      </c>
      <c r="E26" s="7" t="s">
        <v>514</v>
      </c>
      <c r="F26" s="8" t="s">
        <v>592</v>
      </c>
      <c r="G26" s="8" t="s">
        <v>65</v>
      </c>
      <c r="H26" s="8" t="s">
        <v>522</v>
      </c>
    </row>
    <row r="27" customFormat="false" ht="15" hidden="false" customHeight="true" outlineLevel="0" collapsed="false">
      <c r="A27" s="10" t="s">
        <v>593</v>
      </c>
      <c r="B27" s="10" t="s">
        <v>594</v>
      </c>
      <c r="C27" s="11" t="s">
        <v>82</v>
      </c>
      <c r="D27" s="11" t="s">
        <v>595</v>
      </c>
      <c r="E27" s="10" t="s">
        <v>509</v>
      </c>
      <c r="F27" s="11" t="s">
        <v>596</v>
      </c>
      <c r="G27" s="11" t="s">
        <v>38</v>
      </c>
      <c r="H27" s="11" t="s">
        <v>597</v>
      </c>
    </row>
    <row r="28" customFormat="false" ht="15" hidden="false" customHeight="true" outlineLevel="0" collapsed="false">
      <c r="A28" s="7" t="s">
        <v>598</v>
      </c>
      <c r="B28" s="7" t="s">
        <v>404</v>
      </c>
      <c r="C28" s="8" t="s">
        <v>140</v>
      </c>
      <c r="D28" s="8" t="s">
        <v>599</v>
      </c>
      <c r="E28" s="7" t="s">
        <v>155</v>
      </c>
      <c r="F28" s="8" t="s">
        <v>539</v>
      </c>
      <c r="G28" s="8" t="s">
        <v>45</v>
      </c>
      <c r="H28" s="8" t="s">
        <v>547</v>
      </c>
    </row>
    <row r="29" customFormat="false" ht="15" hidden="false" customHeight="true" outlineLevel="0" collapsed="false">
      <c r="A29" s="10" t="s">
        <v>600</v>
      </c>
      <c r="B29" s="10" t="s">
        <v>601</v>
      </c>
      <c r="C29" s="11" t="s">
        <v>95</v>
      </c>
      <c r="D29" s="11" t="s">
        <v>602</v>
      </c>
      <c r="E29" s="10" t="s">
        <v>514</v>
      </c>
      <c r="F29" s="11" t="s">
        <v>526</v>
      </c>
      <c r="G29" s="11" t="s">
        <v>53</v>
      </c>
      <c r="H29" s="11" t="s">
        <v>532</v>
      </c>
    </row>
    <row r="30" customFormat="false" ht="15" hidden="false" customHeight="true" outlineLevel="0" collapsed="false">
      <c r="A30" s="7" t="s">
        <v>603</v>
      </c>
      <c r="B30" s="7" t="s">
        <v>604</v>
      </c>
      <c r="C30" s="8" t="s">
        <v>133</v>
      </c>
      <c r="D30" s="8" t="s">
        <v>549</v>
      </c>
      <c r="E30" s="7" t="s">
        <v>543</v>
      </c>
      <c r="F30" s="8" t="s">
        <v>579</v>
      </c>
      <c r="G30" s="8" t="s">
        <v>58</v>
      </c>
      <c r="H30" s="8" t="s">
        <v>540</v>
      </c>
    </row>
    <row r="31" customFormat="false" ht="15" hidden="false" customHeight="true" outlineLevel="0" collapsed="false">
      <c r="A31" s="10" t="s">
        <v>605</v>
      </c>
      <c r="B31" s="10" t="s">
        <v>606</v>
      </c>
      <c r="C31" s="11" t="s">
        <v>60</v>
      </c>
      <c r="D31" s="11" t="s">
        <v>585</v>
      </c>
      <c r="E31" s="10" t="s">
        <v>520</v>
      </c>
      <c r="F31" s="11" t="s">
        <v>521</v>
      </c>
      <c r="G31" s="11" t="s">
        <v>65</v>
      </c>
      <c r="H31" s="11" t="s">
        <v>511</v>
      </c>
    </row>
    <row r="32" customFormat="false" ht="15" hidden="false" customHeight="true" outlineLevel="0" collapsed="false">
      <c r="A32" s="7" t="s">
        <v>607</v>
      </c>
      <c r="B32" s="7" t="s">
        <v>608</v>
      </c>
      <c r="C32" s="8" t="s">
        <v>90</v>
      </c>
      <c r="D32" s="8" t="s">
        <v>534</v>
      </c>
      <c r="E32" s="7" t="s">
        <v>530</v>
      </c>
      <c r="F32" s="8" t="s">
        <v>609</v>
      </c>
      <c r="G32" s="8" t="s">
        <v>92</v>
      </c>
      <c r="H32" s="8" t="s">
        <v>540</v>
      </c>
    </row>
    <row r="33" customFormat="false" ht="15" hidden="false" customHeight="true" outlineLevel="0" collapsed="false">
      <c r="A33" s="10" t="s">
        <v>610</v>
      </c>
      <c r="B33" s="10" t="s">
        <v>386</v>
      </c>
      <c r="C33" s="11" t="s">
        <v>49</v>
      </c>
      <c r="D33" s="11" t="s">
        <v>611</v>
      </c>
      <c r="E33" s="10" t="s">
        <v>520</v>
      </c>
      <c r="F33" s="11" t="s">
        <v>568</v>
      </c>
      <c r="G33" s="11" t="s">
        <v>53</v>
      </c>
      <c r="H33" s="11" t="s">
        <v>536</v>
      </c>
    </row>
    <row r="34" customFormat="false" ht="15" hidden="false" customHeight="true" outlineLevel="0" collapsed="false">
      <c r="A34" s="7" t="s">
        <v>612</v>
      </c>
      <c r="B34" s="7" t="s">
        <v>386</v>
      </c>
      <c r="C34" s="8" t="s">
        <v>144</v>
      </c>
      <c r="D34" s="8" t="s">
        <v>561</v>
      </c>
      <c r="E34" s="7" t="s">
        <v>520</v>
      </c>
      <c r="F34" s="8" t="s">
        <v>558</v>
      </c>
      <c r="G34" s="8" t="s">
        <v>53</v>
      </c>
      <c r="H34" s="8" t="s">
        <v>536</v>
      </c>
    </row>
    <row r="35" customFormat="false" ht="15" hidden="false" customHeight="true" outlineLevel="0" collapsed="false">
      <c r="A35" s="10" t="s">
        <v>613</v>
      </c>
      <c r="B35" s="10" t="s">
        <v>614</v>
      </c>
      <c r="C35" s="11" t="s">
        <v>55</v>
      </c>
      <c r="D35" s="11" t="s">
        <v>508</v>
      </c>
      <c r="E35" s="10" t="s">
        <v>509</v>
      </c>
      <c r="F35" s="11" t="s">
        <v>510</v>
      </c>
      <c r="G35" s="11" t="s">
        <v>58</v>
      </c>
      <c r="H35" s="11" t="s">
        <v>547</v>
      </c>
    </row>
    <row r="36" customFormat="false" ht="15" hidden="false" customHeight="true" outlineLevel="0" collapsed="false">
      <c r="A36" s="7" t="s">
        <v>615</v>
      </c>
      <c r="B36" s="7" t="s">
        <v>344</v>
      </c>
      <c r="C36" s="8" t="s">
        <v>42</v>
      </c>
      <c r="D36" s="8" t="s">
        <v>525</v>
      </c>
      <c r="E36" s="7" t="s">
        <v>543</v>
      </c>
      <c r="F36" s="8" t="s">
        <v>544</v>
      </c>
      <c r="G36" s="8" t="s">
        <v>45</v>
      </c>
      <c r="H36" s="8" t="s">
        <v>522</v>
      </c>
    </row>
    <row r="37" customFormat="false" ht="15" hidden="false" customHeight="true" outlineLevel="0" collapsed="false">
      <c r="A37" s="10" t="s">
        <v>616</v>
      </c>
      <c r="B37" s="10" t="s">
        <v>617</v>
      </c>
      <c r="C37" s="11" t="s">
        <v>42</v>
      </c>
      <c r="D37" s="11" t="s">
        <v>576</v>
      </c>
      <c r="E37" s="10" t="s">
        <v>520</v>
      </c>
      <c r="F37" s="11" t="s">
        <v>558</v>
      </c>
      <c r="G37" s="11" t="s">
        <v>45</v>
      </c>
      <c r="H37" s="11" t="s">
        <v>532</v>
      </c>
    </row>
    <row r="38" customFormat="false" ht="15" hidden="false" customHeight="true" outlineLevel="0" collapsed="false">
      <c r="A38" s="7" t="s">
        <v>618</v>
      </c>
      <c r="B38" s="7" t="s">
        <v>366</v>
      </c>
      <c r="C38" s="8" t="s">
        <v>144</v>
      </c>
      <c r="D38" s="8" t="s">
        <v>561</v>
      </c>
      <c r="E38" s="7" t="s">
        <v>155</v>
      </c>
      <c r="F38" s="8" t="s">
        <v>539</v>
      </c>
      <c r="G38" s="8" t="s">
        <v>53</v>
      </c>
      <c r="H38" s="8" t="s">
        <v>547</v>
      </c>
    </row>
    <row r="39" customFormat="false" ht="15" hidden="false" customHeight="true" outlineLevel="0" collapsed="false">
      <c r="A39" s="10" t="s">
        <v>619</v>
      </c>
      <c r="B39" s="10" t="s">
        <v>620</v>
      </c>
      <c r="C39" s="11" t="s">
        <v>137</v>
      </c>
      <c r="D39" s="11" t="s">
        <v>621</v>
      </c>
      <c r="E39" s="10" t="s">
        <v>520</v>
      </c>
      <c r="F39" s="11" t="s">
        <v>521</v>
      </c>
      <c r="G39" s="11" t="s">
        <v>53</v>
      </c>
      <c r="H39" s="11" t="s">
        <v>547</v>
      </c>
    </row>
    <row r="40" customFormat="false" ht="15" hidden="false" customHeight="true" outlineLevel="0" collapsed="false">
      <c r="A40" s="7" t="s">
        <v>622</v>
      </c>
      <c r="B40" s="7" t="s">
        <v>417</v>
      </c>
      <c r="C40" s="8" t="s">
        <v>72</v>
      </c>
      <c r="D40" s="8" t="s">
        <v>623</v>
      </c>
      <c r="E40" s="7" t="s">
        <v>155</v>
      </c>
      <c r="F40" s="8" t="s">
        <v>554</v>
      </c>
      <c r="G40" s="8" t="s">
        <v>58</v>
      </c>
      <c r="H40" s="8" t="s">
        <v>516</v>
      </c>
    </row>
    <row r="41" customFormat="false" ht="15" hidden="false" customHeight="true" outlineLevel="0" collapsed="false">
      <c r="A41" s="10" t="s">
        <v>624</v>
      </c>
      <c r="B41" s="10" t="s">
        <v>417</v>
      </c>
      <c r="C41" s="11" t="s">
        <v>106</v>
      </c>
      <c r="D41" s="11" t="s">
        <v>625</v>
      </c>
      <c r="E41" s="10" t="s">
        <v>543</v>
      </c>
      <c r="F41" s="11" t="s">
        <v>626</v>
      </c>
      <c r="G41" s="11" t="s">
        <v>58</v>
      </c>
      <c r="H41" s="11" t="s">
        <v>511</v>
      </c>
    </row>
    <row r="42" customFormat="false" ht="15" hidden="false" customHeight="true" outlineLevel="0" collapsed="false">
      <c r="A42" s="7" t="s">
        <v>627</v>
      </c>
      <c r="B42" s="7" t="s">
        <v>628</v>
      </c>
      <c r="C42" s="8" t="s">
        <v>68</v>
      </c>
      <c r="D42" s="8" t="s">
        <v>629</v>
      </c>
      <c r="E42" s="7" t="s">
        <v>509</v>
      </c>
      <c r="F42" s="8" t="s">
        <v>510</v>
      </c>
      <c r="G42" s="8" t="s">
        <v>58</v>
      </c>
      <c r="H42" s="8" t="s">
        <v>532</v>
      </c>
    </row>
    <row r="43" customFormat="false" ht="15" hidden="false" customHeight="true" outlineLevel="0" collapsed="false">
      <c r="A43" s="10" t="s">
        <v>630</v>
      </c>
      <c r="B43" s="10" t="s">
        <v>628</v>
      </c>
      <c r="C43" s="11" t="s">
        <v>116</v>
      </c>
      <c r="D43" s="11" t="s">
        <v>631</v>
      </c>
      <c r="E43" s="10" t="s">
        <v>530</v>
      </c>
      <c r="F43" s="11" t="s">
        <v>550</v>
      </c>
      <c r="G43" s="11" t="s">
        <v>119</v>
      </c>
      <c r="H43" s="11" t="s">
        <v>597</v>
      </c>
    </row>
    <row r="44" customFormat="false" ht="15" hidden="false" customHeight="true" outlineLevel="0" collapsed="false">
      <c r="A44" s="7" t="s">
        <v>632</v>
      </c>
      <c r="B44" s="7" t="s">
        <v>628</v>
      </c>
      <c r="C44" s="8" t="s">
        <v>148</v>
      </c>
      <c r="D44" s="8" t="s">
        <v>633</v>
      </c>
      <c r="E44" s="7" t="s">
        <v>543</v>
      </c>
      <c r="F44" s="8" t="s">
        <v>579</v>
      </c>
      <c r="G44" s="8" t="s">
        <v>119</v>
      </c>
      <c r="H44" s="8" t="s">
        <v>547</v>
      </c>
    </row>
    <row r="45" customFormat="false" ht="15" hidden="false" customHeight="true" outlineLevel="0" collapsed="false">
      <c r="A45" s="10" t="s">
        <v>634</v>
      </c>
      <c r="B45" s="10" t="s">
        <v>362</v>
      </c>
      <c r="C45" s="11" t="s">
        <v>121</v>
      </c>
      <c r="D45" s="11" t="s">
        <v>635</v>
      </c>
      <c r="E45" s="10" t="s">
        <v>514</v>
      </c>
      <c r="F45" s="11" t="s">
        <v>592</v>
      </c>
      <c r="G45" s="11" t="s">
        <v>113</v>
      </c>
      <c r="H45" s="11" t="s">
        <v>516</v>
      </c>
    </row>
    <row r="46" customFormat="false" ht="15" hidden="false" customHeight="true" outlineLevel="0" collapsed="false">
      <c r="A46" s="7" t="s">
        <v>636</v>
      </c>
      <c r="B46" s="7" t="s">
        <v>362</v>
      </c>
      <c r="C46" s="8" t="s">
        <v>125</v>
      </c>
      <c r="D46" s="8" t="s">
        <v>538</v>
      </c>
      <c r="E46" s="7" t="s">
        <v>543</v>
      </c>
      <c r="F46" s="8" t="s">
        <v>544</v>
      </c>
      <c r="G46" s="8" t="s">
        <v>58</v>
      </c>
      <c r="H46" s="8" t="s">
        <v>532</v>
      </c>
    </row>
    <row r="47" customFormat="false" ht="15" hidden="false" customHeight="true" outlineLevel="0" collapsed="false">
      <c r="A47" s="10" t="s">
        <v>637</v>
      </c>
      <c r="B47" s="10" t="s">
        <v>638</v>
      </c>
      <c r="C47" s="11" t="s">
        <v>95</v>
      </c>
      <c r="D47" s="11" t="s">
        <v>602</v>
      </c>
      <c r="E47" s="10" t="s">
        <v>509</v>
      </c>
      <c r="F47" s="11" t="s">
        <v>596</v>
      </c>
      <c r="G47" s="11" t="s">
        <v>53</v>
      </c>
      <c r="H47" s="11" t="s">
        <v>536</v>
      </c>
    </row>
    <row r="48" customFormat="false" ht="15" hidden="false" customHeight="true" outlineLevel="0" collapsed="false">
      <c r="A48" s="7" t="s">
        <v>639</v>
      </c>
      <c r="B48" s="7" t="s">
        <v>638</v>
      </c>
      <c r="C48" s="8" t="s">
        <v>137</v>
      </c>
      <c r="D48" s="8" t="s">
        <v>621</v>
      </c>
      <c r="E48" s="7" t="s">
        <v>509</v>
      </c>
      <c r="F48" s="8" t="s">
        <v>582</v>
      </c>
      <c r="G48" s="8" t="s">
        <v>53</v>
      </c>
      <c r="H48" s="8" t="s">
        <v>516</v>
      </c>
    </row>
    <row r="49" customFormat="false" ht="15" hidden="false" customHeight="true" outlineLevel="0" collapsed="false">
      <c r="A49" s="10" t="s">
        <v>640</v>
      </c>
      <c r="B49" s="10" t="s">
        <v>218</v>
      </c>
      <c r="C49" s="11" t="s">
        <v>78</v>
      </c>
      <c r="D49" s="11" t="s">
        <v>564</v>
      </c>
      <c r="E49" s="10" t="s">
        <v>530</v>
      </c>
      <c r="F49" s="11" t="s">
        <v>531</v>
      </c>
      <c r="G49" s="11" t="s">
        <v>53</v>
      </c>
      <c r="H49" s="11" t="s">
        <v>597</v>
      </c>
    </row>
    <row r="50" customFormat="false" ht="15" hidden="false" customHeight="true" outlineLevel="0" collapsed="false">
      <c r="A50" s="7" t="s">
        <v>641</v>
      </c>
      <c r="B50" s="7" t="s">
        <v>642</v>
      </c>
      <c r="C50" s="8" t="s">
        <v>99</v>
      </c>
      <c r="D50" s="8" t="s">
        <v>553</v>
      </c>
      <c r="E50" s="7" t="s">
        <v>530</v>
      </c>
      <c r="F50" s="8" t="s">
        <v>550</v>
      </c>
      <c r="G50" s="8" t="s">
        <v>65</v>
      </c>
      <c r="H50" s="8" t="s">
        <v>540</v>
      </c>
    </row>
    <row r="51" customFormat="false" ht="15" hidden="false" customHeight="true" outlineLevel="0" collapsed="false">
      <c r="A51" s="10" t="s">
        <v>643</v>
      </c>
      <c r="B51" s="10" t="s">
        <v>644</v>
      </c>
      <c r="C51" s="11" t="s">
        <v>111</v>
      </c>
      <c r="D51" s="11" t="s">
        <v>557</v>
      </c>
      <c r="E51" s="10" t="s">
        <v>509</v>
      </c>
      <c r="F51" s="11" t="s">
        <v>582</v>
      </c>
      <c r="G51" s="11" t="s">
        <v>113</v>
      </c>
      <c r="H51" s="11" t="s">
        <v>516</v>
      </c>
    </row>
    <row r="52" customFormat="false" ht="15" hidden="false" customHeight="true" outlineLevel="0" collapsed="false">
      <c r="A52" s="7" t="s">
        <v>645</v>
      </c>
      <c r="B52" s="7" t="s">
        <v>179</v>
      </c>
      <c r="C52" s="8" t="s">
        <v>106</v>
      </c>
      <c r="D52" s="8" t="s">
        <v>625</v>
      </c>
      <c r="E52" s="7" t="s">
        <v>520</v>
      </c>
      <c r="F52" s="8" t="s">
        <v>521</v>
      </c>
      <c r="G52" s="8" t="s">
        <v>58</v>
      </c>
      <c r="H52" s="8" t="s">
        <v>511</v>
      </c>
    </row>
    <row r="53" customFormat="false" ht="15" hidden="false" customHeight="true" outlineLevel="0" collapsed="false">
      <c r="A53" s="10" t="s">
        <v>646</v>
      </c>
      <c r="B53" s="10" t="s">
        <v>647</v>
      </c>
      <c r="C53" s="11" t="s">
        <v>60</v>
      </c>
      <c r="D53" s="11" t="s">
        <v>585</v>
      </c>
      <c r="E53" s="10" t="s">
        <v>509</v>
      </c>
      <c r="F53" s="11" t="s">
        <v>596</v>
      </c>
      <c r="G53" s="11" t="s">
        <v>65</v>
      </c>
      <c r="H53" s="11" t="s">
        <v>511</v>
      </c>
    </row>
    <row r="54" customFormat="false" ht="15" hidden="false" customHeight="true" outlineLevel="0" collapsed="false">
      <c r="A54" s="7" t="s">
        <v>648</v>
      </c>
      <c r="B54" s="7" t="s">
        <v>649</v>
      </c>
      <c r="C54" s="8" t="s">
        <v>125</v>
      </c>
      <c r="D54" s="8" t="s">
        <v>538</v>
      </c>
      <c r="E54" s="7" t="s">
        <v>520</v>
      </c>
      <c r="F54" s="8" t="s">
        <v>521</v>
      </c>
      <c r="G54" s="8" t="s">
        <v>58</v>
      </c>
      <c r="H54" s="8" t="s">
        <v>597</v>
      </c>
    </row>
    <row r="55" customFormat="false" ht="15" hidden="false" customHeight="true" outlineLevel="0" collapsed="false">
      <c r="A55" s="10" t="s">
        <v>650</v>
      </c>
      <c r="B55" s="10" t="s">
        <v>651</v>
      </c>
      <c r="C55" s="11" t="s">
        <v>104</v>
      </c>
      <c r="D55" s="11" t="s">
        <v>519</v>
      </c>
      <c r="E55" s="10" t="s">
        <v>543</v>
      </c>
      <c r="F55" s="11" t="s">
        <v>626</v>
      </c>
      <c r="G55" s="11" t="s">
        <v>65</v>
      </c>
      <c r="H55" s="11" t="s">
        <v>540</v>
      </c>
    </row>
    <row r="56" customFormat="false" ht="15" hidden="false" customHeight="true" outlineLevel="0" collapsed="false">
      <c r="A56" s="7" t="s">
        <v>652</v>
      </c>
      <c r="B56" s="7" t="s">
        <v>651</v>
      </c>
      <c r="C56" s="8" t="s">
        <v>137</v>
      </c>
      <c r="D56" s="8" t="s">
        <v>621</v>
      </c>
      <c r="E56" s="7" t="s">
        <v>530</v>
      </c>
      <c r="F56" s="8" t="s">
        <v>609</v>
      </c>
      <c r="G56" s="8" t="s">
        <v>53</v>
      </c>
      <c r="H56" s="8" t="s">
        <v>511</v>
      </c>
    </row>
    <row r="57" customFormat="false" ht="15" hidden="false" customHeight="true" outlineLevel="0" collapsed="false">
      <c r="A57" s="10" t="s">
        <v>653</v>
      </c>
      <c r="B57" s="10" t="s">
        <v>654</v>
      </c>
      <c r="C57" s="11" t="s">
        <v>82</v>
      </c>
      <c r="D57" s="11" t="s">
        <v>595</v>
      </c>
      <c r="E57" s="10" t="s">
        <v>514</v>
      </c>
      <c r="F57" s="11" t="s">
        <v>565</v>
      </c>
      <c r="G57" s="11" t="s">
        <v>38</v>
      </c>
      <c r="H57" s="11" t="s">
        <v>516</v>
      </c>
    </row>
    <row r="58" customFormat="false" ht="15" hidden="false" customHeight="true" outlineLevel="0" collapsed="false">
      <c r="A58" s="7" t="s">
        <v>655</v>
      </c>
      <c r="B58" s="7" t="s">
        <v>656</v>
      </c>
      <c r="C58" s="8" t="s">
        <v>60</v>
      </c>
      <c r="D58" s="8" t="s">
        <v>657</v>
      </c>
      <c r="E58" s="7" t="s">
        <v>155</v>
      </c>
      <c r="F58" s="8" t="s">
        <v>554</v>
      </c>
      <c r="G58" s="8" t="s">
        <v>65</v>
      </c>
      <c r="H58" s="8" t="s">
        <v>597</v>
      </c>
    </row>
    <row r="59" customFormat="false" ht="15" hidden="false" customHeight="true" outlineLevel="0" collapsed="false">
      <c r="A59" s="10" t="s">
        <v>658</v>
      </c>
      <c r="B59" s="10" t="s">
        <v>659</v>
      </c>
      <c r="C59" s="11" t="s">
        <v>68</v>
      </c>
      <c r="D59" s="11" t="s">
        <v>589</v>
      </c>
      <c r="E59" s="10" t="s">
        <v>543</v>
      </c>
      <c r="F59" s="11" t="s">
        <v>626</v>
      </c>
      <c r="G59" s="11" t="s">
        <v>58</v>
      </c>
      <c r="H59" s="11" t="s">
        <v>540</v>
      </c>
    </row>
    <row r="60" customFormat="false" ht="15" hidden="false" customHeight="true" outlineLevel="0" collapsed="false">
      <c r="A60" s="7" t="s">
        <v>660</v>
      </c>
      <c r="B60" s="7" t="s">
        <v>661</v>
      </c>
      <c r="C60" s="8" t="s">
        <v>125</v>
      </c>
      <c r="D60" s="8" t="s">
        <v>538</v>
      </c>
      <c r="E60" s="7" t="s">
        <v>520</v>
      </c>
      <c r="F60" s="8" t="s">
        <v>568</v>
      </c>
      <c r="G60" s="8" t="s">
        <v>58</v>
      </c>
      <c r="H60" s="8" t="s">
        <v>511</v>
      </c>
    </row>
    <row r="61" customFormat="false" ht="15" hidden="false" customHeight="true" outlineLevel="0" collapsed="false">
      <c r="A61" s="10" t="s">
        <v>662</v>
      </c>
      <c r="B61" s="10" t="s">
        <v>663</v>
      </c>
      <c r="C61" s="11" t="s">
        <v>148</v>
      </c>
      <c r="D61" s="11" t="s">
        <v>633</v>
      </c>
      <c r="E61" s="10" t="s">
        <v>509</v>
      </c>
      <c r="F61" s="11" t="s">
        <v>582</v>
      </c>
      <c r="G61" s="11" t="s">
        <v>119</v>
      </c>
      <c r="H61" s="11" t="s">
        <v>522</v>
      </c>
    </row>
    <row r="62" customFormat="false" ht="15" hidden="false" customHeight="true" outlineLevel="0" collapsed="false">
      <c r="A62" s="7" t="s">
        <v>664</v>
      </c>
      <c r="B62" s="7" t="s">
        <v>395</v>
      </c>
      <c r="C62" s="8" t="s">
        <v>55</v>
      </c>
      <c r="D62" s="8" t="s">
        <v>508</v>
      </c>
      <c r="E62" s="7" t="s">
        <v>530</v>
      </c>
      <c r="F62" s="8" t="s">
        <v>531</v>
      </c>
      <c r="G62" s="8" t="s">
        <v>58</v>
      </c>
      <c r="H62" s="8" t="s">
        <v>516</v>
      </c>
    </row>
    <row r="63" customFormat="false" ht="15" hidden="false" customHeight="true" outlineLevel="0" collapsed="false">
      <c r="A63" s="10" t="s">
        <v>665</v>
      </c>
      <c r="B63" s="10" t="s">
        <v>666</v>
      </c>
      <c r="C63" s="11" t="s">
        <v>148</v>
      </c>
      <c r="D63" s="11" t="s">
        <v>633</v>
      </c>
      <c r="E63" s="10" t="s">
        <v>530</v>
      </c>
      <c r="F63" s="11" t="s">
        <v>550</v>
      </c>
      <c r="G63" s="11" t="s">
        <v>119</v>
      </c>
      <c r="H63" s="11" t="s">
        <v>540</v>
      </c>
    </row>
    <row r="64" customFormat="false" ht="15" hidden="false" customHeight="true" outlineLevel="0" collapsed="false">
      <c r="A64" s="7" t="s">
        <v>667</v>
      </c>
      <c r="B64" s="7" t="s">
        <v>668</v>
      </c>
      <c r="C64" s="8" t="s">
        <v>85</v>
      </c>
      <c r="D64" s="8" t="s">
        <v>669</v>
      </c>
      <c r="E64" s="7" t="s">
        <v>155</v>
      </c>
      <c r="F64" s="8" t="s">
        <v>554</v>
      </c>
      <c r="G64" s="8" t="s">
        <v>65</v>
      </c>
      <c r="H64" s="8" t="s">
        <v>516</v>
      </c>
    </row>
    <row r="65" customFormat="false" ht="15" hidden="false" customHeight="true" outlineLevel="0" collapsed="false">
      <c r="A65" s="10" t="s">
        <v>670</v>
      </c>
      <c r="B65" s="10" t="s">
        <v>671</v>
      </c>
      <c r="C65" s="11" t="s">
        <v>104</v>
      </c>
      <c r="D65" s="11" t="s">
        <v>578</v>
      </c>
      <c r="E65" s="10" t="s">
        <v>530</v>
      </c>
      <c r="F65" s="11" t="s">
        <v>609</v>
      </c>
      <c r="G65" s="11" t="s">
        <v>65</v>
      </c>
      <c r="H65" s="11" t="s">
        <v>547</v>
      </c>
    </row>
    <row r="66" customFormat="false" ht="15" hidden="false" customHeight="true" outlineLevel="0" collapsed="false">
      <c r="A66" s="7" t="s">
        <v>672</v>
      </c>
      <c r="B66" s="7" t="s">
        <v>673</v>
      </c>
      <c r="C66" s="8" t="s">
        <v>128</v>
      </c>
      <c r="D66" s="8" t="s">
        <v>674</v>
      </c>
      <c r="E66" s="7" t="s">
        <v>514</v>
      </c>
      <c r="F66" s="8" t="s">
        <v>515</v>
      </c>
      <c r="G66" s="8" t="s">
        <v>65</v>
      </c>
      <c r="H66" s="8" t="s">
        <v>516</v>
      </c>
    </row>
    <row r="67" customFormat="false" ht="15" hidden="false" customHeight="true" outlineLevel="0" collapsed="false">
      <c r="A67" s="10" t="s">
        <v>675</v>
      </c>
      <c r="B67" s="10" t="s">
        <v>676</v>
      </c>
      <c r="C67" s="11" t="s">
        <v>85</v>
      </c>
      <c r="D67" s="11" t="s">
        <v>669</v>
      </c>
      <c r="E67" s="10" t="s">
        <v>509</v>
      </c>
      <c r="F67" s="11" t="s">
        <v>582</v>
      </c>
      <c r="G67" s="11" t="s">
        <v>65</v>
      </c>
      <c r="H67" s="11" t="s">
        <v>547</v>
      </c>
    </row>
    <row r="68" customFormat="false" ht="15" hidden="false" customHeight="true" outlineLevel="0" collapsed="false">
      <c r="A68" s="7" t="s">
        <v>677</v>
      </c>
      <c r="B68" s="7" t="s">
        <v>678</v>
      </c>
      <c r="C68" s="8" t="s">
        <v>90</v>
      </c>
      <c r="D68" s="8" t="s">
        <v>679</v>
      </c>
      <c r="E68" s="7" t="s">
        <v>509</v>
      </c>
      <c r="F68" s="8" t="s">
        <v>582</v>
      </c>
      <c r="G68" s="8" t="s">
        <v>92</v>
      </c>
      <c r="H68" s="8" t="s">
        <v>511</v>
      </c>
    </row>
    <row r="69" customFormat="false" ht="15" hidden="false" customHeight="true" outlineLevel="0" collapsed="false">
      <c r="A69" s="10" t="s">
        <v>680</v>
      </c>
      <c r="B69" s="10" t="s">
        <v>391</v>
      </c>
      <c r="C69" s="11" t="s">
        <v>90</v>
      </c>
      <c r="D69" s="11" t="s">
        <v>679</v>
      </c>
      <c r="E69" s="10" t="s">
        <v>530</v>
      </c>
      <c r="F69" s="11" t="s">
        <v>531</v>
      </c>
      <c r="G69" s="11" t="s">
        <v>92</v>
      </c>
      <c r="H69" s="11" t="s">
        <v>540</v>
      </c>
    </row>
    <row r="70" customFormat="false" ht="15" hidden="false" customHeight="true" outlineLevel="0" collapsed="false">
      <c r="A70" s="7" t="s">
        <v>681</v>
      </c>
      <c r="B70" s="7" t="s">
        <v>682</v>
      </c>
      <c r="C70" s="8" t="s">
        <v>111</v>
      </c>
      <c r="D70" s="8" t="s">
        <v>557</v>
      </c>
      <c r="E70" s="7" t="s">
        <v>155</v>
      </c>
      <c r="F70" s="8" t="s">
        <v>539</v>
      </c>
      <c r="G70" s="8" t="s">
        <v>113</v>
      </c>
      <c r="H70" s="8" t="s"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1"/>
  </cols>
  <sheetData>
    <row r="1" customFormat="false" ht="17.25" hidden="false" customHeight="true" outlineLevel="0" collapsed="false">
      <c r="A1" s="17" t="s">
        <v>683</v>
      </c>
      <c r="B1" s="17"/>
      <c r="C1" s="17"/>
      <c r="D1" s="17"/>
    </row>
    <row r="3" customFormat="false" ht="15" hidden="false" customHeight="true" outlineLevel="0" collapsed="false">
      <c r="A3" s="18" t="s">
        <v>684</v>
      </c>
      <c r="B3" s="18" t="s">
        <v>685</v>
      </c>
      <c r="C3" s="18" t="s">
        <v>686</v>
      </c>
      <c r="D3" s="18" t="s">
        <v>687</v>
      </c>
    </row>
    <row r="4" customFormat="false" ht="15" hidden="false" customHeight="true" outlineLevel="0" collapsed="false">
      <c r="A4" s="19" t="s">
        <v>33</v>
      </c>
      <c r="B4" s="20" t="n">
        <f aca="false">COUNTIF(Accounts!C:C,A4)</f>
        <v>6</v>
      </c>
      <c r="C4" s="21" t="n">
        <f aca="false">SUMIF(Accounts!C:C,A4,Accounts!F:F)</f>
        <v>3646.6</v>
      </c>
      <c r="D4" s="22" t="n">
        <f aca="false">IF($C$13=0,0,C4/$C$13)</f>
        <v>0.1222747543842</v>
      </c>
    </row>
    <row r="5" customFormat="false" ht="15" hidden="false" customHeight="true" outlineLevel="0" collapsed="false">
      <c r="A5" s="19" t="s">
        <v>61</v>
      </c>
      <c r="B5" s="20" t="n">
        <f aca="false">COUNTIF(Accounts!C:C,A5)</f>
        <v>3</v>
      </c>
      <c r="C5" s="21" t="n">
        <f aca="false">SUMIF(Accounts!C:C,A5,Accounts!F:F)</f>
        <v>2029.6</v>
      </c>
      <c r="D5" s="22" t="n">
        <f aca="false">IF($C$13=0,0,C5/$C$13)</f>
        <v>0.0680548569895718</v>
      </c>
    </row>
    <row r="6" customFormat="false" ht="15" hidden="false" customHeight="true" outlineLevel="0" collapsed="false">
      <c r="A6" s="19" t="s">
        <v>73</v>
      </c>
      <c r="B6" s="20" t="n">
        <f aca="false">COUNTIF(Accounts!C:C,A6)</f>
        <v>3</v>
      </c>
      <c r="C6" s="21" t="n">
        <f aca="false">SUMIF(Accounts!C:C,A6,Accounts!F:F)</f>
        <v>4199.7</v>
      </c>
      <c r="D6" s="22" t="n">
        <f aca="false">IF($C$13=0,0,C6/$C$13)</f>
        <v>0.140820842973544</v>
      </c>
    </row>
    <row r="7" customFormat="false" ht="15" hidden="false" customHeight="true" outlineLevel="0" collapsed="false">
      <c r="A7" s="19" t="s">
        <v>86</v>
      </c>
      <c r="B7" s="20" t="n">
        <f aca="false">COUNTIF(Accounts!C:C,A7)</f>
        <v>3</v>
      </c>
      <c r="C7" s="21" t="n">
        <f aca="false">SUMIF(Accounts!C:C,A7,Accounts!F:F)</f>
        <v>4591.7</v>
      </c>
      <c r="D7" s="22" t="n">
        <f aca="false">IF($C$13=0,0,C7/$C$13)</f>
        <v>0.153965060523757</v>
      </c>
    </row>
    <row r="8" customFormat="false" ht="15" hidden="false" customHeight="true" outlineLevel="0" collapsed="false">
      <c r="A8" s="19" t="s">
        <v>100</v>
      </c>
      <c r="B8" s="20" t="n">
        <f aca="false">COUNTIF(Accounts!C:C,A8)</f>
        <v>2</v>
      </c>
      <c r="C8" s="21" t="n">
        <f aca="false">SUMIF(Accounts!C:C,A8,Accounts!F:F)</f>
        <v>4064.8</v>
      </c>
      <c r="D8" s="22" t="n">
        <f aca="false">IF($C$13=0,0,C8/$C$13)</f>
        <v>0.136297488515575</v>
      </c>
    </row>
    <row r="9" customFormat="false" ht="15" hidden="false" customHeight="true" outlineLevel="0" collapsed="false">
      <c r="A9" s="19" t="s">
        <v>107</v>
      </c>
      <c r="B9" s="20" t="n">
        <f aca="false">COUNTIF(Accounts!C:C,A9)</f>
        <v>2</v>
      </c>
      <c r="C9" s="21" t="n">
        <f aca="false">SUMIF(Accounts!C:C,A9,Accounts!F:F)</f>
        <v>3507.6</v>
      </c>
      <c r="D9" s="22" t="n">
        <f aca="false">IF($C$13=0,0,C9/$C$13)</f>
        <v>0.11761392214063</v>
      </c>
    </row>
    <row r="10" customFormat="false" ht="15" hidden="false" customHeight="true" outlineLevel="0" collapsed="false">
      <c r="A10" s="19" t="s">
        <v>117</v>
      </c>
      <c r="B10" s="20" t="n">
        <f aca="false">COUNTIF(Accounts!C:C,A10)</f>
        <v>2</v>
      </c>
      <c r="C10" s="21" t="n">
        <f aca="false">SUMIF(Accounts!C:C,A10,Accounts!F:F)</f>
        <v>2790.2</v>
      </c>
      <c r="D10" s="22" t="n">
        <f aca="false">IF($C$13=0,0,C10/$C$13)</f>
        <v>0.0935586627770513</v>
      </c>
    </row>
    <row r="11" customFormat="false" ht="15" hidden="false" customHeight="true" outlineLevel="0" collapsed="false">
      <c r="A11" s="19" t="s">
        <v>134</v>
      </c>
      <c r="B11" s="20" t="n">
        <f aca="false">COUNTIF(Accounts!C:C,A11)</f>
        <v>2</v>
      </c>
      <c r="C11" s="21" t="n">
        <f aca="false">SUMIF(Accounts!C:C,A11,Accounts!F:F)</f>
        <v>2418.7</v>
      </c>
      <c r="D11" s="22" t="n">
        <f aca="false">IF($C$13=0,0,C11/$C$13)</f>
        <v>0.0811018341548469</v>
      </c>
    </row>
    <row r="12" customFormat="false" ht="15" hidden="false" customHeight="true" outlineLevel="0" collapsed="false">
      <c r="A12" s="19" t="s">
        <v>145</v>
      </c>
      <c r="B12" s="20" t="n">
        <f aca="false">COUNTIF(Accounts!C:C,A12)</f>
        <v>2</v>
      </c>
      <c r="C12" s="21" t="n">
        <f aca="false">SUMIF(Accounts!C:C,A12,Accounts!F:F)</f>
        <v>2574.1</v>
      </c>
      <c r="D12" s="22" t="n">
        <f aca="false">IF($C$13=0,0,C12/$C$13)</f>
        <v>0.0863125775408242</v>
      </c>
    </row>
    <row r="13" customFormat="false" ht="15" hidden="false" customHeight="true" outlineLevel="0" collapsed="false">
      <c r="A13" s="23" t="s">
        <v>149</v>
      </c>
      <c r="B13" s="24" t="n">
        <f aca="false">SUM(B4:B12)</f>
        <v>25</v>
      </c>
      <c r="C13" s="25" t="n">
        <f aca="false">SUM(C4:C12)</f>
        <v>29823</v>
      </c>
      <c r="D13" s="26" t="n">
        <f aca="false">SUM(D4:D12)</f>
        <v>1</v>
      </c>
    </row>
    <row r="16" customFormat="false" ht="17.25" hidden="false" customHeight="true" outlineLevel="0" collapsed="false">
      <c r="A16" s="27" t="s">
        <v>688</v>
      </c>
    </row>
    <row r="18" customFormat="false" ht="26.25" hidden="false" customHeight="true" outlineLevel="0" collapsed="false">
      <c r="A18" s="18" t="s">
        <v>422</v>
      </c>
      <c r="B18" s="18" t="s">
        <v>689</v>
      </c>
      <c r="C18" s="18" t="s">
        <v>690</v>
      </c>
    </row>
    <row r="19" customFormat="false" ht="15" hidden="false" customHeight="true" outlineLevel="0" collapsed="false">
      <c r="A19" s="19" t="s">
        <v>440</v>
      </c>
      <c r="B19" s="20" t="n">
        <f aca="false">COUNTIF(Pipeline!F:F,A19)</f>
        <v>2</v>
      </c>
      <c r="C19" s="21" t="n">
        <f aca="false">SUMIF(Pipeline!F:F,A19,Pipeline!E:E)</f>
        <v>718.5</v>
      </c>
    </row>
    <row r="20" customFormat="false" ht="15" hidden="false" customHeight="true" outlineLevel="0" collapsed="false">
      <c r="A20" s="19" t="s">
        <v>452</v>
      </c>
      <c r="B20" s="20" t="n">
        <f aca="false">COUNTIF(Pipeline!F:F,A20)</f>
        <v>3</v>
      </c>
      <c r="C20" s="21" t="n">
        <f aca="false">SUMIF(Pipeline!F:F,A20,Pipeline!E:E)</f>
        <v>1023.6</v>
      </c>
    </row>
    <row r="21" customFormat="false" ht="15" hidden="false" customHeight="true" outlineLevel="0" collapsed="false">
      <c r="A21" s="19" t="s">
        <v>429</v>
      </c>
      <c r="B21" s="20" t="n">
        <f aca="false">COUNTIF(Pipeline!F:F,A21)</f>
        <v>3</v>
      </c>
      <c r="C21" s="21" t="n">
        <f aca="false">SUMIF(Pipeline!F:F,A21,Pipeline!E:E)</f>
        <v>766.9</v>
      </c>
    </row>
    <row r="22" customFormat="false" ht="15" hidden="false" customHeight="true" outlineLevel="0" collapsed="false">
      <c r="A22" s="19" t="s">
        <v>433</v>
      </c>
      <c r="B22" s="20" t="n">
        <f aca="false">COUNTIF(Pipeline!F:F,A22)</f>
        <v>6</v>
      </c>
      <c r="C22" s="21" t="n">
        <f aca="false">SUMIF(Pipeline!F:F,A22,Pipeline!E:E)</f>
        <v>2629.5</v>
      </c>
    </row>
    <row r="23" customFormat="false" ht="15" hidden="false" customHeight="true" outlineLevel="0" collapsed="false">
      <c r="A23" s="19" t="s">
        <v>436</v>
      </c>
      <c r="B23" s="20" t="n">
        <f aca="false">COUNTIF(Pipeline!F:F,A23)</f>
        <v>5</v>
      </c>
      <c r="C23" s="21" t="n">
        <f aca="false">SUMIF(Pipeline!F:F,A23,Pipeline!E:E)</f>
        <v>2678.9</v>
      </c>
    </row>
    <row r="24" customFormat="false" ht="15" hidden="false" customHeight="true" outlineLevel="0" collapsed="false">
      <c r="A24" s="19" t="s">
        <v>469</v>
      </c>
      <c r="B24" s="20" t="n">
        <f aca="false">COUNTIF(Pipeline!F:F,A24)</f>
        <v>3</v>
      </c>
      <c r="C24" s="21" t="n">
        <f aca="false">SUMIF(Pipeline!F:F,A24,Pipeline!E:E)</f>
        <v>922.1</v>
      </c>
    </row>
    <row r="25" customFormat="false" ht="15" hidden="false" customHeight="true" outlineLevel="0" collapsed="false">
      <c r="A25" s="19" t="s">
        <v>443</v>
      </c>
      <c r="B25" s="20" t="n">
        <f aca="false">COUNTIF(Pipeline!F:F,A25)</f>
        <v>7</v>
      </c>
      <c r="C25" s="21" t="n">
        <f aca="false">SUMIF(Pipeline!F:F,A25,Pipeline!E:E)</f>
        <v>2879.9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42"/>
    <col collapsed="false" customWidth="true" hidden="false" outlineLevel="0" max="10" min="10" style="0" width="16"/>
    <col collapsed="false" customWidth="true" hidden="false" outlineLevel="0" max="11" min="11" style="0" width="17"/>
  </cols>
  <sheetData>
    <row r="1" customFormat="false" ht="18.55" hidden="false" customHeight="false" outlineLevel="0" collapsed="false">
      <c r="A1" s="28" t="s">
        <v>691</v>
      </c>
      <c r="B1" s="28"/>
      <c r="C1" s="28"/>
      <c r="D1" s="28"/>
      <c r="E1" s="28"/>
      <c r="F1" s="28"/>
      <c r="G1" s="28"/>
      <c r="H1" s="28"/>
      <c r="I1" s="28"/>
    </row>
    <row r="2" customFormat="false" ht="15" hidden="false" customHeight="false" outlineLevel="0" collapsed="false">
      <c r="A2" s="29" t="s">
        <v>692</v>
      </c>
      <c r="B2" s="29"/>
      <c r="C2" s="29"/>
      <c r="D2" s="29"/>
      <c r="E2" s="29"/>
      <c r="F2" s="29"/>
      <c r="G2" s="29"/>
      <c r="H2" s="29"/>
      <c r="I2" s="29"/>
    </row>
    <row r="4" customFormat="false" ht="26.85" hidden="false" customHeight="false" outlineLevel="0" collapsed="false">
      <c r="A4" s="6" t="s">
        <v>693</v>
      </c>
      <c r="B4" s="6" t="s">
        <v>694</v>
      </c>
      <c r="C4" s="6" t="s">
        <v>153</v>
      </c>
      <c r="D4" s="6" t="s">
        <v>695</v>
      </c>
      <c r="E4" s="6" t="s">
        <v>696</v>
      </c>
      <c r="F4" s="6" t="s">
        <v>697</v>
      </c>
      <c r="G4" s="6" t="s">
        <v>698</v>
      </c>
      <c r="H4" s="6" t="s">
        <v>699</v>
      </c>
      <c r="I4" s="6" t="s">
        <v>155</v>
      </c>
      <c r="J4" s="6" t="s">
        <v>700</v>
      </c>
      <c r="K4" s="6" t="s">
        <v>701</v>
      </c>
    </row>
    <row r="5" customFormat="false" ht="15" hidden="false" customHeight="false" outlineLevel="0" collapsed="false">
      <c r="A5" s="10" t="s">
        <v>702</v>
      </c>
      <c r="B5" s="30" t="s">
        <v>703</v>
      </c>
      <c r="C5" s="30" t="s">
        <v>704</v>
      </c>
      <c r="D5" s="10" t="n">
        <v>1</v>
      </c>
      <c r="E5" s="30" t="s">
        <v>705</v>
      </c>
      <c r="F5" s="10" t="s">
        <v>706</v>
      </c>
      <c r="G5" s="30" t="s">
        <v>707</v>
      </c>
      <c r="H5" s="30" t="s">
        <v>708</v>
      </c>
      <c r="I5" s="30" t="s">
        <v>709</v>
      </c>
      <c r="J5" s="10" t="n">
        <f aca="false">COUNTIF(Accounts!J:J,B5)</f>
        <v>0</v>
      </c>
      <c r="K5" s="12" t="n">
        <f aca="false">SUMIF(Accounts!J:J,B5,Accounts!F:F)</f>
        <v>0</v>
      </c>
    </row>
    <row r="6" customFormat="false" ht="15" hidden="false" customHeight="false" outlineLevel="0" collapsed="false">
      <c r="A6" s="7" t="s">
        <v>710</v>
      </c>
      <c r="B6" s="31" t="s">
        <v>711</v>
      </c>
      <c r="C6" s="31" t="s">
        <v>712</v>
      </c>
      <c r="D6" s="7" t="n">
        <v>2</v>
      </c>
      <c r="E6" s="31" t="s">
        <v>703</v>
      </c>
      <c r="F6" s="7" t="s">
        <v>702</v>
      </c>
      <c r="G6" s="31" t="s">
        <v>713</v>
      </c>
      <c r="H6" s="31" t="s">
        <v>714</v>
      </c>
      <c r="I6" s="31" t="s">
        <v>715</v>
      </c>
      <c r="J6" s="7" t="n">
        <f aca="false">COUNTIF(Accounts!J:J,B6)</f>
        <v>0</v>
      </c>
      <c r="K6" s="9" t="n">
        <f aca="false">SUMIF(Accounts!J:J,B6,Accounts!F:F)</f>
        <v>0</v>
      </c>
    </row>
    <row r="7" customFormat="false" ht="15" hidden="false" customHeight="false" outlineLevel="0" collapsed="false">
      <c r="A7" s="10" t="s">
        <v>716</v>
      </c>
      <c r="B7" s="30" t="s">
        <v>717</v>
      </c>
      <c r="C7" s="30" t="s">
        <v>718</v>
      </c>
      <c r="D7" s="10" t="n">
        <v>2</v>
      </c>
      <c r="E7" s="30" t="s">
        <v>703</v>
      </c>
      <c r="F7" s="10" t="s">
        <v>702</v>
      </c>
      <c r="G7" s="30" t="s">
        <v>719</v>
      </c>
      <c r="H7" s="30" t="s">
        <v>708</v>
      </c>
      <c r="I7" s="30" t="s">
        <v>720</v>
      </c>
      <c r="J7" s="10" t="n">
        <f aca="false">COUNTIF(Accounts!J:J,B7)</f>
        <v>0</v>
      </c>
      <c r="K7" s="12" t="n">
        <f aca="false">SUMIF(Accounts!J:J,B7,Accounts!F:F)</f>
        <v>0</v>
      </c>
    </row>
    <row r="8" customFormat="false" ht="15" hidden="false" customHeight="false" outlineLevel="0" collapsed="false">
      <c r="A8" s="7" t="s">
        <v>721</v>
      </c>
      <c r="B8" s="31" t="s">
        <v>722</v>
      </c>
      <c r="C8" s="31" t="s">
        <v>723</v>
      </c>
      <c r="D8" s="7" t="n">
        <v>2</v>
      </c>
      <c r="E8" s="31" t="s">
        <v>703</v>
      </c>
      <c r="F8" s="7" t="s">
        <v>702</v>
      </c>
      <c r="G8" s="31" t="s">
        <v>724</v>
      </c>
      <c r="H8" s="31" t="s">
        <v>725</v>
      </c>
      <c r="I8" s="31" t="s">
        <v>726</v>
      </c>
      <c r="J8" s="7" t="n">
        <f aca="false">COUNTIF(Accounts!J:J,B8)</f>
        <v>0</v>
      </c>
      <c r="K8" s="9" t="n">
        <f aca="false">SUMIF(Accounts!J:J,B8,Accounts!F:F)</f>
        <v>0</v>
      </c>
    </row>
    <row r="9" customFormat="false" ht="15" hidden="false" customHeight="false" outlineLevel="0" collapsed="false">
      <c r="A9" s="10" t="s">
        <v>727</v>
      </c>
      <c r="B9" s="30" t="s">
        <v>728</v>
      </c>
      <c r="C9" s="30" t="s">
        <v>729</v>
      </c>
      <c r="D9" s="10" t="n">
        <v>2</v>
      </c>
      <c r="E9" s="30" t="s">
        <v>703</v>
      </c>
      <c r="F9" s="10" t="s">
        <v>702</v>
      </c>
      <c r="G9" s="30" t="s">
        <v>730</v>
      </c>
      <c r="H9" s="30" t="s">
        <v>731</v>
      </c>
      <c r="I9" s="30" t="s">
        <v>732</v>
      </c>
      <c r="J9" s="10" t="n">
        <f aca="false">COUNTIF(Accounts!J:J,B9)</f>
        <v>0</v>
      </c>
      <c r="K9" s="12" t="n">
        <f aca="false">SUMIF(Accounts!J:J,B9,Accounts!F:F)</f>
        <v>0</v>
      </c>
    </row>
    <row r="10" customFormat="false" ht="15" hidden="false" customHeight="false" outlineLevel="0" collapsed="false">
      <c r="A10" s="7" t="s">
        <v>733</v>
      </c>
      <c r="B10" s="31" t="s">
        <v>45</v>
      </c>
      <c r="C10" s="31" t="s">
        <v>734</v>
      </c>
      <c r="D10" s="7" t="n">
        <v>3</v>
      </c>
      <c r="E10" s="31" t="s">
        <v>711</v>
      </c>
      <c r="F10" s="7" t="s">
        <v>710</v>
      </c>
      <c r="G10" s="31" t="s">
        <v>713</v>
      </c>
      <c r="H10" s="31" t="s">
        <v>735</v>
      </c>
      <c r="I10" s="31" t="s">
        <v>736</v>
      </c>
      <c r="J10" s="7" t="n">
        <f aca="false">COUNTIF(Accounts!J:J,B10)</f>
        <v>2</v>
      </c>
      <c r="K10" s="9" t="n">
        <f aca="false">SUMIF(Accounts!J:J,B10,Accounts!F:F)</f>
        <v>1310.6</v>
      </c>
    </row>
    <row r="11" customFormat="false" ht="15" hidden="false" customHeight="false" outlineLevel="0" collapsed="false">
      <c r="A11" s="10" t="s">
        <v>737</v>
      </c>
      <c r="B11" s="30" t="s">
        <v>38</v>
      </c>
      <c r="C11" s="30" t="s">
        <v>738</v>
      </c>
      <c r="D11" s="10" t="n">
        <v>3</v>
      </c>
      <c r="E11" s="30" t="s">
        <v>711</v>
      </c>
      <c r="F11" s="10" t="s">
        <v>710</v>
      </c>
      <c r="G11" s="30" t="s">
        <v>713</v>
      </c>
      <c r="H11" s="30" t="s">
        <v>714</v>
      </c>
      <c r="I11" s="30" t="s">
        <v>739</v>
      </c>
      <c r="J11" s="10" t="n">
        <f aca="false">COUNTIF(Accounts!J:J,B11)</f>
        <v>2</v>
      </c>
      <c r="K11" s="12" t="n">
        <f aca="false">SUMIF(Accounts!J:J,B11,Accounts!F:F)</f>
        <v>2548.7</v>
      </c>
    </row>
    <row r="12" customFormat="false" ht="15" hidden="false" customHeight="false" outlineLevel="0" collapsed="false">
      <c r="A12" s="7" t="s">
        <v>740</v>
      </c>
      <c r="B12" s="31" t="s">
        <v>53</v>
      </c>
      <c r="C12" s="31" t="s">
        <v>738</v>
      </c>
      <c r="D12" s="7" t="n">
        <v>3</v>
      </c>
      <c r="E12" s="31" t="s">
        <v>711</v>
      </c>
      <c r="F12" s="7" t="s">
        <v>710</v>
      </c>
      <c r="G12" s="31" t="s">
        <v>713</v>
      </c>
      <c r="H12" s="31" t="s">
        <v>741</v>
      </c>
      <c r="I12" s="31" t="s">
        <v>742</v>
      </c>
      <c r="J12" s="7" t="n">
        <f aca="false">COUNTIF(Accounts!J:J,B12)</f>
        <v>5</v>
      </c>
      <c r="K12" s="9" t="n">
        <f aca="false">SUMIF(Accounts!J:J,B12,Accounts!F:F)</f>
        <v>2748.9</v>
      </c>
    </row>
    <row r="13" customFormat="false" ht="15" hidden="false" customHeight="false" outlineLevel="0" collapsed="false">
      <c r="A13" s="10" t="s">
        <v>743</v>
      </c>
      <c r="B13" s="30" t="s">
        <v>58</v>
      </c>
      <c r="C13" s="30" t="s">
        <v>738</v>
      </c>
      <c r="D13" s="10" t="n">
        <v>3</v>
      </c>
      <c r="E13" s="30" t="s">
        <v>717</v>
      </c>
      <c r="F13" s="10" t="s">
        <v>716</v>
      </c>
      <c r="G13" s="30" t="s">
        <v>719</v>
      </c>
      <c r="H13" s="30" t="s">
        <v>708</v>
      </c>
      <c r="I13" s="30" t="s">
        <v>744</v>
      </c>
      <c r="J13" s="10" t="n">
        <f aca="false">COUNTIF(Accounts!J:J,B13)</f>
        <v>6</v>
      </c>
      <c r="K13" s="12" t="n">
        <f aca="false">SUMIF(Accounts!J:J,B13,Accounts!F:F)</f>
        <v>7970.7</v>
      </c>
    </row>
    <row r="14" customFormat="false" ht="15" hidden="false" customHeight="false" outlineLevel="0" collapsed="false">
      <c r="A14" s="7" t="s">
        <v>745</v>
      </c>
      <c r="B14" s="31" t="s">
        <v>113</v>
      </c>
      <c r="C14" s="31" t="s">
        <v>738</v>
      </c>
      <c r="D14" s="7" t="n">
        <v>3</v>
      </c>
      <c r="E14" s="31" t="s">
        <v>717</v>
      </c>
      <c r="F14" s="7" t="s">
        <v>716</v>
      </c>
      <c r="G14" s="31" t="s">
        <v>719</v>
      </c>
      <c r="H14" s="31" t="s">
        <v>746</v>
      </c>
      <c r="I14" s="31" t="s">
        <v>747</v>
      </c>
      <c r="J14" s="7" t="n">
        <f aca="false">COUNTIF(Accounts!J:J,B14)</f>
        <v>2</v>
      </c>
      <c r="K14" s="9" t="n">
        <f aca="false">SUMIF(Accounts!J:J,B14,Accounts!F:F)</f>
        <v>1706.2</v>
      </c>
    </row>
    <row r="15" customFormat="false" ht="15" hidden="false" customHeight="false" outlineLevel="0" collapsed="false">
      <c r="A15" s="10" t="s">
        <v>748</v>
      </c>
      <c r="B15" s="30" t="s">
        <v>65</v>
      </c>
      <c r="C15" s="30" t="s">
        <v>738</v>
      </c>
      <c r="D15" s="10" t="n">
        <v>3</v>
      </c>
      <c r="E15" s="30" t="s">
        <v>717</v>
      </c>
      <c r="F15" s="10" t="s">
        <v>716</v>
      </c>
      <c r="G15" s="30" t="s">
        <v>719</v>
      </c>
      <c r="H15" s="30" t="s">
        <v>714</v>
      </c>
      <c r="I15" s="30" t="s">
        <v>749</v>
      </c>
      <c r="J15" s="10" t="n">
        <f aca="false">COUNTIF(Accounts!J:J,B15)</f>
        <v>5</v>
      </c>
      <c r="K15" s="12" t="n">
        <f aca="false">SUMIF(Accounts!J:J,B15,Accounts!F:F)</f>
        <v>7218.1</v>
      </c>
    </row>
    <row r="16" customFormat="false" ht="15" hidden="false" customHeight="false" outlineLevel="0" collapsed="false">
      <c r="A16" s="7" t="s">
        <v>750</v>
      </c>
      <c r="B16" s="31" t="s">
        <v>92</v>
      </c>
      <c r="C16" s="31" t="s">
        <v>738</v>
      </c>
      <c r="D16" s="7" t="n">
        <v>3</v>
      </c>
      <c r="E16" s="31" t="s">
        <v>722</v>
      </c>
      <c r="F16" s="7" t="s">
        <v>721</v>
      </c>
      <c r="G16" s="31" t="s">
        <v>724</v>
      </c>
      <c r="H16" s="31" t="s">
        <v>725</v>
      </c>
      <c r="I16" s="31" t="s">
        <v>751</v>
      </c>
      <c r="J16" s="7" t="n">
        <f aca="false">COUNTIF(Accounts!J:J,B16)</f>
        <v>1</v>
      </c>
      <c r="K16" s="9" t="n">
        <f aca="false">SUMIF(Accounts!J:J,B16,Accounts!F:F)</f>
        <v>1651.6</v>
      </c>
    </row>
    <row r="17" customFormat="false" ht="15" hidden="false" customHeight="false" outlineLevel="0" collapsed="false">
      <c r="A17" s="10" t="s">
        <v>752</v>
      </c>
      <c r="B17" s="30" t="s">
        <v>119</v>
      </c>
      <c r="C17" s="30" t="s">
        <v>738</v>
      </c>
      <c r="D17" s="10" t="n">
        <v>3</v>
      </c>
      <c r="E17" s="30" t="s">
        <v>722</v>
      </c>
      <c r="F17" s="10" t="s">
        <v>721</v>
      </c>
      <c r="G17" s="30" t="s">
        <v>724</v>
      </c>
      <c r="H17" s="30" t="s">
        <v>753</v>
      </c>
      <c r="I17" s="30" t="s">
        <v>754</v>
      </c>
      <c r="J17" s="10" t="n">
        <f aca="false">COUNTIF(Accounts!J:J,B17)</f>
        <v>2</v>
      </c>
      <c r="K17" s="12" t="n">
        <f aca="false">SUMIF(Accounts!J:J,B17,Accounts!F:F)</f>
        <v>4668.2</v>
      </c>
    </row>
    <row r="18" customFormat="false" ht="15" hidden="false" customHeight="false" outlineLevel="0" collapsed="false">
      <c r="A18" s="7" t="s">
        <v>755</v>
      </c>
      <c r="B18" s="31" t="s">
        <v>756</v>
      </c>
      <c r="C18" s="31" t="s">
        <v>757</v>
      </c>
      <c r="D18" s="7" t="n">
        <v>4</v>
      </c>
      <c r="E18" s="31" t="s">
        <v>38</v>
      </c>
      <c r="F18" s="7" t="s">
        <v>737</v>
      </c>
      <c r="G18" s="31" t="s">
        <v>713</v>
      </c>
      <c r="H18" s="31" t="s">
        <v>714</v>
      </c>
      <c r="I18" s="31" t="s">
        <v>758</v>
      </c>
      <c r="J18" s="7" t="n">
        <f aca="false">COUNTIF(Accounts!J:J,B18)</f>
        <v>0</v>
      </c>
      <c r="K18" s="9" t="n">
        <f aca="false">SUMIF(Accounts!J:J,B18,Accounts!F:F)</f>
        <v>0</v>
      </c>
    </row>
    <row r="19" customFormat="false" ht="15" hidden="false" customHeight="false" outlineLevel="0" collapsed="false">
      <c r="A19" s="10" t="s">
        <v>759</v>
      </c>
      <c r="B19" s="30" t="s">
        <v>760</v>
      </c>
      <c r="C19" s="30" t="s">
        <v>761</v>
      </c>
      <c r="D19" s="10" t="n">
        <v>4</v>
      </c>
      <c r="E19" s="30" t="s">
        <v>58</v>
      </c>
      <c r="F19" s="10" t="s">
        <v>743</v>
      </c>
      <c r="G19" s="30" t="s">
        <v>719</v>
      </c>
      <c r="H19" s="30" t="s">
        <v>708</v>
      </c>
      <c r="I19" s="30" t="s">
        <v>762</v>
      </c>
      <c r="J19" s="10" t="n">
        <f aca="false">COUNTIF(Accounts!J:J,B19)</f>
        <v>0</v>
      </c>
      <c r="K19" s="12" t="n">
        <f aca="false">SUMIF(Accounts!J:J,B19,Accounts!F:F)</f>
        <v>0</v>
      </c>
    </row>
    <row r="20" customFormat="false" ht="15" hidden="false" customHeight="false" outlineLevel="0" collapsed="false">
      <c r="A20" s="7" t="s">
        <v>763</v>
      </c>
      <c r="B20" s="31" t="s">
        <v>764</v>
      </c>
      <c r="C20" s="31" t="s">
        <v>765</v>
      </c>
      <c r="D20" s="7" t="n">
        <v>4</v>
      </c>
      <c r="E20" s="31" t="s">
        <v>728</v>
      </c>
      <c r="F20" s="7" t="s">
        <v>727</v>
      </c>
      <c r="G20" s="31" t="s">
        <v>730</v>
      </c>
      <c r="H20" s="31" t="s">
        <v>731</v>
      </c>
      <c r="I20" s="31" t="s">
        <v>766</v>
      </c>
      <c r="J20" s="7" t="n">
        <f aca="false">COUNTIF(Accounts!J:J,B20)</f>
        <v>0</v>
      </c>
      <c r="K20" s="9" t="n">
        <f aca="false">SUMIF(Accounts!J:J,B20,Accounts!F:F)</f>
        <v>0</v>
      </c>
    </row>
    <row r="21" customFormat="false" ht="15" hidden="false" customHeight="false" outlineLevel="0" collapsed="false">
      <c r="A21" s="10" t="s">
        <v>767</v>
      </c>
      <c r="B21" s="30" t="s">
        <v>768</v>
      </c>
      <c r="C21" s="30" t="s">
        <v>765</v>
      </c>
      <c r="D21" s="10" t="n">
        <v>4</v>
      </c>
      <c r="E21" s="30" t="s">
        <v>728</v>
      </c>
      <c r="F21" s="10" t="s">
        <v>727</v>
      </c>
      <c r="G21" s="30" t="s">
        <v>730</v>
      </c>
      <c r="H21" s="30" t="s">
        <v>731</v>
      </c>
      <c r="I21" s="30" t="s">
        <v>769</v>
      </c>
      <c r="J21" s="10" t="n">
        <f aca="false">COUNTIF(Accounts!J:J,B21)</f>
        <v>0</v>
      </c>
      <c r="K21" s="12" t="n">
        <f aca="false">SUMIF(Accounts!J:J,B21,Accounts!F:F)</f>
        <v>0</v>
      </c>
    </row>
    <row r="22" customFormat="false" ht="15" hidden="false" customHeight="false" outlineLevel="0" collapsed="false">
      <c r="A22" s="7" t="s">
        <v>770</v>
      </c>
      <c r="B22" s="31" t="s">
        <v>771</v>
      </c>
      <c r="C22" s="31" t="s">
        <v>772</v>
      </c>
      <c r="D22" s="7" t="n">
        <v>4</v>
      </c>
      <c r="E22" s="31" t="s">
        <v>728</v>
      </c>
      <c r="F22" s="7" t="s">
        <v>727</v>
      </c>
      <c r="G22" s="31" t="s">
        <v>730</v>
      </c>
      <c r="H22" s="31" t="s">
        <v>731</v>
      </c>
      <c r="I22" s="31" t="s">
        <v>773</v>
      </c>
      <c r="J22" s="7" t="n">
        <f aca="false">COUNTIF(Accounts!J:J,B22)</f>
        <v>0</v>
      </c>
      <c r="K22" s="9" t="n">
        <f aca="false">SUMIF(Accounts!J:J,B22,Accounts!F:F)</f>
        <v>0</v>
      </c>
    </row>
    <row r="25" customFormat="false" ht="16.15" hidden="false" customHeight="false" outlineLevel="0" collapsed="false">
      <c r="A25" s="32" t="s">
        <v>774</v>
      </c>
    </row>
    <row r="26" customFormat="false" ht="15" hidden="false" customHeight="false" outlineLevel="0" collapsed="false">
      <c r="A26" s="33" t="s">
        <v>775</v>
      </c>
      <c r="B26" s="33"/>
      <c r="C26" s="33"/>
      <c r="D26" s="33"/>
      <c r="E26" s="33"/>
      <c r="F26" s="33"/>
      <c r="G26" s="33"/>
      <c r="H26" s="33"/>
    </row>
    <row r="27" customFormat="false" ht="15" hidden="false" customHeight="false" outlineLevel="0" collapsed="false">
      <c r="A27" s="34" t="s">
        <v>776</v>
      </c>
      <c r="B27" s="34"/>
      <c r="C27" s="34"/>
      <c r="D27" s="34"/>
      <c r="E27" s="34"/>
      <c r="F27" s="34"/>
      <c r="G27" s="34"/>
      <c r="H27" s="34"/>
    </row>
    <row r="28" customFormat="false" ht="15" hidden="false" customHeight="false" outlineLevel="0" collapsed="false">
      <c r="A28" s="35" t="s">
        <v>777</v>
      </c>
      <c r="B28" s="35"/>
      <c r="C28" s="35"/>
      <c r="D28" s="35"/>
      <c r="E28" s="35"/>
      <c r="F28" s="35"/>
      <c r="G28" s="35"/>
      <c r="H28" s="35"/>
    </row>
    <row r="29" customFormat="false" ht="15" hidden="false" customHeight="false" outlineLevel="0" collapsed="false">
      <c r="A29" s="35" t="s">
        <v>778</v>
      </c>
      <c r="B29" s="35"/>
      <c r="C29" s="35"/>
      <c r="D29" s="35"/>
      <c r="E29" s="35"/>
      <c r="F29" s="35"/>
      <c r="G29" s="35"/>
      <c r="H29" s="35"/>
    </row>
    <row r="30" customFormat="false" ht="15" hidden="false" customHeight="false" outlineLevel="0" collapsed="false">
      <c r="A30" s="36" t="s">
        <v>779</v>
      </c>
      <c r="B30" s="36"/>
      <c r="C30" s="36"/>
      <c r="D30" s="36"/>
      <c r="E30" s="36"/>
      <c r="F30" s="36"/>
      <c r="G30" s="36"/>
      <c r="H30" s="36"/>
    </row>
    <row r="31" customFormat="false" ht="15" hidden="false" customHeight="false" outlineLevel="0" collapsed="false">
      <c r="A31" s="35" t="s">
        <v>780</v>
      </c>
      <c r="B31" s="35"/>
      <c r="C31" s="35"/>
      <c r="D31" s="35"/>
      <c r="E31" s="35"/>
      <c r="F31" s="35"/>
      <c r="G31" s="35"/>
      <c r="H31" s="35"/>
    </row>
    <row r="32" customFormat="false" ht="15" hidden="false" customHeight="false" outlineLevel="0" collapsed="false">
      <c r="A32" s="34" t="s">
        <v>781</v>
      </c>
      <c r="B32" s="34"/>
      <c r="C32" s="34"/>
      <c r="D32" s="34"/>
      <c r="E32" s="34"/>
      <c r="F32" s="34"/>
      <c r="G32" s="34"/>
      <c r="H32" s="34"/>
    </row>
    <row r="33" customFormat="false" ht="15" hidden="false" customHeight="false" outlineLevel="0" collapsed="false">
      <c r="A33" s="35" t="s">
        <v>782</v>
      </c>
      <c r="B33" s="35"/>
      <c r="C33" s="35"/>
      <c r="D33" s="35"/>
      <c r="E33" s="35"/>
      <c r="F33" s="35"/>
      <c r="G33" s="35"/>
      <c r="H33" s="35"/>
    </row>
    <row r="34" customFormat="false" ht="15" hidden="false" customHeight="false" outlineLevel="0" collapsed="false">
      <c r="A34" s="36" t="s">
        <v>783</v>
      </c>
      <c r="B34" s="36"/>
      <c r="C34" s="36"/>
      <c r="D34" s="36"/>
      <c r="E34" s="36"/>
      <c r="F34" s="36"/>
      <c r="G34" s="36"/>
      <c r="H34" s="36"/>
    </row>
    <row r="35" customFormat="false" ht="15" hidden="false" customHeight="false" outlineLevel="0" collapsed="false">
      <c r="A35" s="35" t="s">
        <v>784</v>
      </c>
      <c r="B35" s="35"/>
      <c r="C35" s="35"/>
      <c r="D35" s="35"/>
      <c r="E35" s="35"/>
      <c r="F35" s="35"/>
      <c r="G35" s="35"/>
      <c r="H35" s="35"/>
    </row>
    <row r="36" customFormat="false" ht="15" hidden="false" customHeight="false" outlineLevel="0" collapsed="false">
      <c r="A36" s="35" t="s">
        <v>785</v>
      </c>
      <c r="B36" s="35"/>
      <c r="C36" s="35"/>
      <c r="D36" s="35"/>
      <c r="E36" s="35"/>
      <c r="F36" s="35"/>
      <c r="G36" s="35"/>
      <c r="H36" s="35"/>
    </row>
    <row r="37" customFormat="false" ht="15" hidden="false" customHeight="false" outlineLevel="0" collapsed="false">
      <c r="A37" s="34" t="s">
        <v>786</v>
      </c>
      <c r="B37" s="34"/>
      <c r="C37" s="34"/>
      <c r="D37" s="34"/>
      <c r="E37" s="34"/>
      <c r="F37" s="34"/>
      <c r="G37" s="34"/>
      <c r="H37" s="34"/>
    </row>
    <row r="38" customFormat="false" ht="15" hidden="false" customHeight="false" outlineLevel="0" collapsed="false">
      <c r="A38" s="35" t="s">
        <v>787</v>
      </c>
      <c r="B38" s="35"/>
      <c r="C38" s="35"/>
      <c r="D38" s="35"/>
      <c r="E38" s="35"/>
      <c r="F38" s="35"/>
      <c r="G38" s="35"/>
      <c r="H38" s="35"/>
    </row>
    <row r="39" customFormat="false" ht="15" hidden="false" customHeight="false" outlineLevel="0" collapsed="false">
      <c r="A39" s="35" t="s">
        <v>788</v>
      </c>
      <c r="B39" s="35"/>
      <c r="C39" s="35"/>
      <c r="D39" s="35"/>
      <c r="E39" s="35"/>
      <c r="F39" s="35"/>
      <c r="G39" s="35"/>
      <c r="H39" s="35"/>
    </row>
    <row r="40" customFormat="false" ht="15" hidden="false" customHeight="false" outlineLevel="0" collapsed="false">
      <c r="A40" s="34" t="s">
        <v>789</v>
      </c>
      <c r="B40" s="34"/>
      <c r="C40" s="34"/>
      <c r="D40" s="34"/>
      <c r="E40" s="34"/>
      <c r="F40" s="34"/>
      <c r="G40" s="34"/>
      <c r="H40" s="34"/>
    </row>
    <row r="41" customFormat="false" ht="15" hidden="false" customHeight="false" outlineLevel="0" collapsed="false">
      <c r="A41" s="37" t="s">
        <v>790</v>
      </c>
      <c r="B41" s="37"/>
      <c r="C41" s="37"/>
      <c r="D41" s="37"/>
      <c r="E41" s="37"/>
      <c r="F41" s="37"/>
      <c r="G41" s="37"/>
      <c r="H41" s="37"/>
    </row>
    <row r="42" customFormat="false" ht="15" hidden="false" customHeight="false" outlineLevel="0" collapsed="false">
      <c r="A42" s="37" t="s">
        <v>791</v>
      </c>
      <c r="B42" s="37"/>
      <c r="C42" s="37"/>
      <c r="D42" s="37"/>
      <c r="E42" s="37"/>
      <c r="F42" s="37"/>
      <c r="G42" s="37"/>
      <c r="H42" s="37"/>
    </row>
    <row r="43" customFormat="false" ht="15" hidden="false" customHeight="false" outlineLevel="0" collapsed="false">
      <c r="A43" s="37" t="s">
        <v>792</v>
      </c>
      <c r="B43" s="37"/>
      <c r="C43" s="37"/>
      <c r="D43" s="37"/>
      <c r="E43" s="37"/>
      <c r="F43" s="37"/>
      <c r="G43" s="37"/>
      <c r="H43" s="37"/>
    </row>
    <row r="45" customFormat="false" ht="15" hidden="false" customHeight="false" outlineLevel="0" collapsed="false">
      <c r="A45" s="38" t="s">
        <v>793</v>
      </c>
    </row>
    <row r="46" customFormat="false" ht="15" hidden="false" customHeight="false" outlineLevel="0" collapsed="false">
      <c r="A46" s="39" t="s">
        <v>794</v>
      </c>
    </row>
    <row r="47" customFormat="false" ht="15" hidden="false" customHeight="false" outlineLevel="0" collapsed="false">
      <c r="A47" s="40" t="s">
        <v>795</v>
      </c>
    </row>
    <row r="48" customFormat="false" ht="15" hidden="false" customHeight="false" outlineLevel="0" collapsed="false">
      <c r="A48" s="41" t="s">
        <v>796</v>
      </c>
    </row>
    <row r="49" customFormat="false" ht="15" hidden="false" customHeight="false" outlineLevel="0" collapsed="false">
      <c r="A49" s="42" t="s">
        <v>797</v>
      </c>
    </row>
  </sheetData>
  <mergeCells count="20">
    <mergeCell ref="A1:I1"/>
    <mergeCell ref="A2:I2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2026-06-04T15:13:16Z</dcterms:created>
  <dc:creator>openpyxl</dc:creator>
  <dc:description/>
  <dc:language>en-US</dc:language>
  <cp:lastModifiedBy/>
  <dcterms:modified xsi:type="dcterms:W3CDTF">2026-06-04T15:20:59Z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